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maipt/Downloads/"/>
    </mc:Choice>
  </mc:AlternateContent>
  <xr:revisionPtr revIDLastSave="0" documentId="13_ncr:1_{9960AEE6-EA89-E142-B3B2-90408700B276}" xr6:coauthVersionLast="47" xr6:coauthVersionMax="47" xr10:uidLastSave="{00000000-0000-0000-0000-000000000000}"/>
  <bookViews>
    <workbookView xWindow="0" yWindow="600" windowWidth="27040" windowHeight="15860" xr2:uid="{00000000-000D-0000-FFFF-FFFF00000000}"/>
  </bookViews>
  <sheets>
    <sheet name="MS_IT.2026" sheetId="1" r:id="rId1"/>
    <sheet name="JSC_Detail" sheetId="14" state="hidden" r:id="rId2"/>
    <sheet name="ACC_FIN" sheetId="5" state="hidden" r:id="rId3"/>
    <sheet name="MKT.SALES" sheetId="8" state="hidden" r:id="rId4"/>
    <sheet name="HR.ADM.LEGAL" sheetId="9" state="hidden" r:id="rId5"/>
    <sheet name="DMD" sheetId="2" state="hidden" r:id="rId6"/>
    <sheet name="PDD" sheetId="4" state="hidden" r:id="rId7"/>
    <sheet name="PMU.QS.EPL" sheetId="6" state="hidden" r:id="rId8"/>
    <sheet name="PMG.BHMC.AURA" sheetId="7" state="hidden" r:id="rId9"/>
    <sheet name="BFT.2026" sheetId="3" state="hidden" r:id="rId10"/>
    <sheet name="GARDEN" sheetId="10" state="hidden" r:id="rId11"/>
    <sheet name="MINHQUANG" sheetId="11" state="hidden" r:id="rId12"/>
    <sheet name="BIG.ENRG" sheetId="12" state="hidden" r:id="rId13"/>
    <sheet name="OTHERS" sheetId="13" state="hidden" r:id="rId14"/>
  </sheets>
  <externalReferences>
    <externalReference r:id="rId15"/>
    <externalReference r:id="rId1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mzMG46QByi6+mPLYJZOT2WIdJaK5dSreOEPrN62TJI0="/>
    </ext>
  </extLst>
</workbook>
</file>

<file path=xl/calcChain.xml><?xml version="1.0" encoding="utf-8"?>
<calcChain xmlns="http://schemas.openxmlformats.org/spreadsheetml/2006/main">
  <c r="AI44" i="1" l="1"/>
  <c r="B66" i="14"/>
  <c r="B60" i="14"/>
  <c r="B55" i="14"/>
  <c r="C53" i="14"/>
  <c r="B53" i="14"/>
  <c r="B48" i="14"/>
  <c r="C45" i="14"/>
  <c r="B45" i="14"/>
  <c r="C27" i="14"/>
  <c r="C5" i="14"/>
  <c r="AI25" i="1" l="1"/>
  <c r="E35" i="6"/>
  <c r="AI20" i="1"/>
  <c r="AI26" i="1"/>
  <c r="AI24" i="1"/>
  <c r="D47" i="10"/>
  <c r="H47" i="10" s="1"/>
  <c r="I47" i="10" s="1"/>
  <c r="J47" i="10" s="1"/>
  <c r="H46" i="10"/>
  <c r="I46" i="10" s="1"/>
  <c r="D46" i="10"/>
  <c r="D45" i="10"/>
  <c r="H45" i="10" s="1"/>
  <c r="I45" i="10" s="1"/>
  <c r="U45" i="10" s="1"/>
  <c r="V45" i="10" s="1"/>
  <c r="D44" i="10"/>
  <c r="H44" i="10" s="1"/>
  <c r="I44" i="10" s="1"/>
  <c r="V43" i="10"/>
  <c r="D42" i="10"/>
  <c r="H42" i="10" s="1"/>
  <c r="I42" i="10" s="1"/>
  <c r="P42" i="10" s="1"/>
  <c r="T41" i="10"/>
  <c r="S41" i="10"/>
  <c r="I41" i="10"/>
  <c r="D41" i="10"/>
  <c r="U40" i="10"/>
  <c r="Q40" i="10"/>
  <c r="P40" i="10"/>
  <c r="O40" i="10"/>
  <c r="N40" i="10"/>
  <c r="M40" i="10"/>
  <c r="L40" i="10"/>
  <c r="K40" i="10"/>
  <c r="I40" i="10"/>
  <c r="T40" i="10" s="1"/>
  <c r="D40" i="10"/>
  <c r="D39" i="10"/>
  <c r="H39" i="10" s="1"/>
  <c r="I39" i="10" s="1"/>
  <c r="M39" i="10" s="1"/>
  <c r="I38" i="10"/>
  <c r="J38" i="10" s="1"/>
  <c r="V38" i="10" s="1"/>
  <c r="J37" i="10"/>
  <c r="V37" i="10" s="1"/>
  <c r="I37" i="10"/>
  <c r="D36" i="10"/>
  <c r="H36" i="10" s="1"/>
  <c r="I36" i="10" s="1"/>
  <c r="D35" i="10"/>
  <c r="H35" i="10" s="1"/>
  <c r="I35" i="10" s="1"/>
  <c r="M35" i="10" s="1"/>
  <c r="V34" i="10"/>
  <c r="D33" i="10"/>
  <c r="H33" i="10" s="1"/>
  <c r="I33" i="10" s="1"/>
  <c r="U33" i="10" s="1"/>
  <c r="V33" i="10" s="1"/>
  <c r="I32" i="10"/>
  <c r="U32" i="10" s="1"/>
  <c r="V32" i="10" s="1"/>
  <c r="H32" i="10"/>
  <c r="D32" i="10"/>
  <c r="Q31" i="10"/>
  <c r="P31" i="10"/>
  <c r="O31" i="10"/>
  <c r="N31" i="10"/>
  <c r="I31" i="10"/>
  <c r="U31" i="10" s="1"/>
  <c r="H31" i="10"/>
  <c r="D31" i="10"/>
  <c r="J30" i="10"/>
  <c r="K30" i="10" s="1"/>
  <c r="L30" i="10" s="1"/>
  <c r="M30" i="10" s="1"/>
  <c r="N30" i="10" s="1"/>
  <c r="O30" i="10" s="1"/>
  <c r="P30" i="10" s="1"/>
  <c r="Q30" i="10" s="1"/>
  <c r="R30" i="10" s="1"/>
  <c r="S30" i="10" s="1"/>
  <c r="T30" i="10" s="1"/>
  <c r="U30" i="10" s="1"/>
  <c r="D30" i="10"/>
  <c r="H29" i="10"/>
  <c r="I29" i="10" s="1"/>
  <c r="U29" i="10" s="1"/>
  <c r="V29" i="10" s="1"/>
  <c r="D29" i="10"/>
  <c r="S28" i="10"/>
  <c r="R28" i="10"/>
  <c r="Q28" i="10"/>
  <c r="P28" i="10"/>
  <c r="I28" i="10"/>
  <c r="T28" i="10" s="1"/>
  <c r="H28" i="10"/>
  <c r="D28" i="10"/>
  <c r="D27" i="10"/>
  <c r="H27" i="10" s="1"/>
  <c r="I27" i="10" s="1"/>
  <c r="J27" i="10" s="1"/>
  <c r="U26" i="10"/>
  <c r="Q26" i="10"/>
  <c r="P26" i="10"/>
  <c r="O26" i="10"/>
  <c r="N26" i="10"/>
  <c r="M26" i="10"/>
  <c r="L26" i="10"/>
  <c r="K26" i="10"/>
  <c r="I26" i="10"/>
  <c r="T26" i="10" s="1"/>
  <c r="H26" i="10"/>
  <c r="D26" i="10"/>
  <c r="V25" i="10"/>
  <c r="U24" i="10"/>
  <c r="T24" i="10"/>
  <c r="S24" i="10"/>
  <c r="R24" i="10"/>
  <c r="Q24" i="10"/>
  <c r="P24" i="10"/>
  <c r="O24" i="10"/>
  <c r="N24" i="10"/>
  <c r="M24" i="10"/>
  <c r="L24" i="10"/>
  <c r="K24" i="10"/>
  <c r="J24" i="10"/>
  <c r="D24" i="10"/>
  <c r="H24" i="10" s="1"/>
  <c r="I24" i="10" s="1"/>
  <c r="C24" i="10"/>
  <c r="P23" i="10"/>
  <c r="Q23" i="10" s="1"/>
  <c r="R23" i="10" s="1"/>
  <c r="S23" i="10" s="1"/>
  <c r="T23" i="10" s="1"/>
  <c r="U23" i="10" s="1"/>
  <c r="M23" i="10"/>
  <c r="L23" i="10"/>
  <c r="K23" i="10"/>
  <c r="J23" i="10"/>
  <c r="D23" i="10"/>
  <c r="H23" i="10" s="1"/>
  <c r="I23" i="10" s="1"/>
  <c r="N23" i="10" s="1"/>
  <c r="O23" i="10" s="1"/>
  <c r="C22" i="10"/>
  <c r="D22" i="10" s="1"/>
  <c r="H22" i="10" s="1"/>
  <c r="I22" i="10" s="1"/>
  <c r="J22" i="10" s="1"/>
  <c r="E21" i="10"/>
  <c r="D21" i="10"/>
  <c r="D20" i="10"/>
  <c r="H20" i="10" s="1"/>
  <c r="I20" i="10" s="1"/>
  <c r="I19" i="10"/>
  <c r="N19" i="10" s="1"/>
  <c r="H19" i="10"/>
  <c r="D19" i="10"/>
  <c r="G18" i="10"/>
  <c r="D18" i="10"/>
  <c r="H18" i="10" s="1"/>
  <c r="I18" i="10" s="1"/>
  <c r="J18" i="10" s="1"/>
  <c r="K18" i="10" s="1"/>
  <c r="L18" i="10" s="1"/>
  <c r="M18" i="10" s="1"/>
  <c r="N18" i="10" s="1"/>
  <c r="O18" i="10" s="1"/>
  <c r="P18" i="10" s="1"/>
  <c r="Q18" i="10" s="1"/>
  <c r="R18" i="10" s="1"/>
  <c r="S18" i="10" s="1"/>
  <c r="T18" i="10" s="1"/>
  <c r="U18" i="10" s="1"/>
  <c r="C17" i="10"/>
  <c r="D17" i="10" s="1"/>
  <c r="D16" i="10" s="1"/>
  <c r="I15" i="10"/>
  <c r="T15" i="10" s="1"/>
  <c r="H15" i="10"/>
  <c r="D15" i="10"/>
  <c r="D14" i="10"/>
  <c r="H14" i="10" s="1"/>
  <c r="I14" i="10" s="1"/>
  <c r="J14" i="10" s="1"/>
  <c r="D13" i="10"/>
  <c r="H13" i="10" s="1"/>
  <c r="I13" i="10" s="1"/>
  <c r="U13" i="10" s="1"/>
  <c r="V13" i="10" s="1"/>
  <c r="H12" i="10"/>
  <c r="I12" i="10" s="1"/>
  <c r="R12" i="10" s="1"/>
  <c r="D11" i="10"/>
  <c r="H11" i="10" s="1"/>
  <c r="I11" i="10" s="1"/>
  <c r="L11" i="10" s="1"/>
  <c r="C11" i="10"/>
  <c r="D10" i="10"/>
  <c r="H10" i="10" s="1"/>
  <c r="I10" i="10" s="1"/>
  <c r="N10" i="10" s="1"/>
  <c r="H9" i="10"/>
  <c r="I9" i="10" s="1"/>
  <c r="U9" i="10" s="1"/>
  <c r="V9" i="10" s="1"/>
  <c r="D9" i="10"/>
  <c r="D8" i="10"/>
  <c r="H8" i="10" s="1"/>
  <c r="I8" i="10" s="1"/>
  <c r="D7" i="10"/>
  <c r="D6" i="10" s="1"/>
  <c r="H5" i="10"/>
  <c r="I5" i="10" s="1"/>
  <c r="U5" i="10" s="1"/>
  <c r="D5" i="10"/>
  <c r="V4" i="10"/>
  <c r="T5" i="10" l="1"/>
  <c r="T20" i="10"/>
  <c r="Q20" i="10"/>
  <c r="O20" i="10"/>
  <c r="S20" i="10"/>
  <c r="R20" i="10"/>
  <c r="P20" i="10"/>
  <c r="U20" i="10"/>
  <c r="N20" i="10"/>
  <c r="R44" i="10"/>
  <c r="O44" i="10"/>
  <c r="Q44" i="10"/>
  <c r="P44" i="10"/>
  <c r="N44" i="10"/>
  <c r="T44" i="10"/>
  <c r="S44" i="10"/>
  <c r="M44" i="10"/>
  <c r="U44" i="10"/>
  <c r="L44" i="10"/>
  <c r="K14" i="10"/>
  <c r="L14" i="10" s="1"/>
  <c r="M14" i="10" s="1"/>
  <c r="N14" i="10" s="1"/>
  <c r="O14" i="10" s="1"/>
  <c r="P14" i="10" s="1"/>
  <c r="Q14" i="10" s="1"/>
  <c r="R14" i="10" s="1"/>
  <c r="S14" i="10" s="1"/>
  <c r="T14" i="10" s="1"/>
  <c r="U14" i="10" s="1"/>
  <c r="M11" i="10"/>
  <c r="N11" i="10" s="1"/>
  <c r="O11" i="10" s="1"/>
  <c r="P11" i="10" s="1"/>
  <c r="Q11" i="10" s="1"/>
  <c r="R11" i="10" s="1"/>
  <c r="S11" i="10" s="1"/>
  <c r="T11" i="10" s="1"/>
  <c r="U11" i="10" s="1"/>
  <c r="V11" i="10"/>
  <c r="N35" i="10"/>
  <c r="O35" i="10" s="1"/>
  <c r="P35" i="10" s="1"/>
  <c r="Q35" i="10" s="1"/>
  <c r="R35" i="10" s="1"/>
  <c r="S35" i="10" s="1"/>
  <c r="T35" i="10" s="1"/>
  <c r="U35" i="10" s="1"/>
  <c r="V35" i="10"/>
  <c r="K27" i="10"/>
  <c r="L27" i="10" s="1"/>
  <c r="M27" i="10" s="1"/>
  <c r="N27" i="10" s="1"/>
  <c r="O27" i="10" s="1"/>
  <c r="P27" i="10" s="1"/>
  <c r="Q27" i="10" s="1"/>
  <c r="R27" i="10" s="1"/>
  <c r="S27" i="10" s="1"/>
  <c r="T27" i="10" s="1"/>
  <c r="U27" i="10" s="1"/>
  <c r="V27" i="10"/>
  <c r="V19" i="10"/>
  <c r="S46" i="10"/>
  <c r="R46" i="10"/>
  <c r="O46" i="10"/>
  <c r="Q46" i="10"/>
  <c r="P46" i="10"/>
  <c r="N46" i="10"/>
  <c r="U46" i="10"/>
  <c r="T46" i="10"/>
  <c r="U10" i="10"/>
  <c r="K10" i="10"/>
  <c r="V10" i="10" s="1"/>
  <c r="R10" i="10"/>
  <c r="Q10" i="10"/>
  <c r="T10" i="10"/>
  <c r="S10" i="10"/>
  <c r="M10" i="10"/>
  <c r="L10" i="10"/>
  <c r="U8" i="10"/>
  <c r="K8" i="10"/>
  <c r="R8" i="10"/>
  <c r="T8" i="10"/>
  <c r="Q8" i="10"/>
  <c r="S8" i="10"/>
  <c r="M8" i="10"/>
  <c r="L8" i="10"/>
  <c r="P10" i="10"/>
  <c r="N39" i="10"/>
  <c r="O39" i="10" s="1"/>
  <c r="P39" i="10" s="1"/>
  <c r="Q39" i="10" s="1"/>
  <c r="R39" i="10" s="1"/>
  <c r="S39" i="10" s="1"/>
  <c r="T39" i="10" s="1"/>
  <c r="U39" i="10" s="1"/>
  <c r="V39" i="10"/>
  <c r="L46" i="10"/>
  <c r="O8" i="10"/>
  <c r="M46" i="10"/>
  <c r="P8" i="10"/>
  <c r="M36" i="10"/>
  <c r="T36" i="10"/>
  <c r="L36" i="10"/>
  <c r="R36" i="10"/>
  <c r="U36" i="10"/>
  <c r="S36" i="10"/>
  <c r="O36" i="10"/>
  <c r="N36" i="10"/>
  <c r="V47" i="10"/>
  <c r="K47" i="10"/>
  <c r="L47" i="10" s="1"/>
  <c r="M47" i="10" s="1"/>
  <c r="N47" i="10" s="1"/>
  <c r="O47" i="10" s="1"/>
  <c r="P47" i="10" s="1"/>
  <c r="Q47" i="10" s="1"/>
  <c r="R47" i="10" s="1"/>
  <c r="S47" i="10" s="1"/>
  <c r="T47" i="10" s="1"/>
  <c r="U47" i="10" s="1"/>
  <c r="O12" i="10"/>
  <c r="N12" i="10"/>
  <c r="U12" i="10"/>
  <c r="Q12" i="10"/>
  <c r="P12" i="10"/>
  <c r="M42" i="10"/>
  <c r="S42" i="10"/>
  <c r="T42" i="10"/>
  <c r="U42" i="10"/>
  <c r="O42" i="10"/>
  <c r="N42" i="10"/>
  <c r="R42" i="10"/>
  <c r="H17" i="10"/>
  <c r="I17" i="10" s="1"/>
  <c r="O17" i="10" s="1"/>
  <c r="K22" i="10"/>
  <c r="J21" i="10"/>
  <c r="Q42" i="10"/>
  <c r="V24" i="10"/>
  <c r="P36" i="10"/>
  <c r="P41" i="10"/>
  <c r="L41" i="10"/>
  <c r="O41" i="10"/>
  <c r="M41" i="10"/>
  <c r="N41" i="10"/>
  <c r="R41" i="10"/>
  <c r="Q41" i="10"/>
  <c r="U41" i="10"/>
  <c r="K41" i="10"/>
  <c r="O10" i="10"/>
  <c r="N8" i="10"/>
  <c r="S12" i="10"/>
  <c r="O19" i="10"/>
  <c r="P19" i="10" s="1"/>
  <c r="Q19" i="10" s="1"/>
  <c r="R19" i="10" s="1"/>
  <c r="S19" i="10" s="1"/>
  <c r="T19" i="10" s="1"/>
  <c r="U19" i="10" s="1"/>
  <c r="T12" i="10"/>
  <c r="D48" i="10"/>
  <c r="D3" i="10"/>
  <c r="V23" i="10"/>
  <c r="Q36" i="10"/>
  <c r="J41" i="10"/>
  <c r="U15" i="10"/>
  <c r="H7" i="10"/>
  <c r="I7" i="10" s="1"/>
  <c r="L15" i="10"/>
  <c r="O28" i="10"/>
  <c r="M31" i="10"/>
  <c r="R15" i="10"/>
  <c r="R26" i="10"/>
  <c r="V26" i="10" s="1"/>
  <c r="U28" i="10"/>
  <c r="V30" i="10"/>
  <c r="S31" i="10"/>
  <c r="R40" i="10"/>
  <c r="S15" i="10"/>
  <c r="S26" i="10"/>
  <c r="T31" i="10"/>
  <c r="S40" i="10"/>
  <c r="R31" i="10"/>
  <c r="V41" i="10" l="1"/>
  <c r="V8" i="10"/>
  <c r="P17" i="10"/>
  <c r="O16" i="10"/>
  <c r="V36" i="10"/>
  <c r="V42" i="10"/>
  <c r="K21" i="10"/>
  <c r="L22" i="10"/>
  <c r="V12" i="10"/>
  <c r="V5" i="10"/>
  <c r="V46" i="10"/>
  <c r="V28" i="10"/>
  <c r="M15" i="10"/>
  <c r="N15" i="10" s="1"/>
  <c r="O15" i="10" s="1"/>
  <c r="P15" i="10" s="1"/>
  <c r="Q15" i="10" s="1"/>
  <c r="P7" i="10"/>
  <c r="P6" i="10" s="1"/>
  <c r="M7" i="10"/>
  <c r="M6" i="10" s="1"/>
  <c r="O7" i="10"/>
  <c r="O6" i="10" s="1"/>
  <c r="N7" i="10"/>
  <c r="N6" i="10" s="1"/>
  <c r="L7" i="10"/>
  <c r="L6" i="10" s="1"/>
  <c r="R7" i="10"/>
  <c r="R6" i="10" s="1"/>
  <c r="Q7" i="10"/>
  <c r="Q6" i="10" s="1"/>
  <c r="K7" i="10"/>
  <c r="K6" i="10" s="1"/>
  <c r="J7" i="10"/>
  <c r="U7" i="10"/>
  <c r="U6" i="10" s="1"/>
  <c r="T7" i="10"/>
  <c r="T6" i="10" s="1"/>
  <c r="S7" i="10"/>
  <c r="S6" i="10" s="1"/>
  <c r="V14" i="10"/>
  <c r="V31" i="10"/>
  <c r="V44" i="10"/>
  <c r="V20" i="10"/>
  <c r="L21" i="10" l="1"/>
  <c r="M22" i="10"/>
  <c r="V7" i="10"/>
  <c r="J6" i="10"/>
  <c r="J3" i="10" s="1"/>
  <c r="K3" i="10"/>
  <c r="Q17" i="10"/>
  <c r="P16" i="10"/>
  <c r="V15" i="10"/>
  <c r="L3" i="10"/>
  <c r="R17" i="10" l="1"/>
  <c r="Q16" i="10"/>
  <c r="M21" i="10"/>
  <c r="M3" i="10" s="1"/>
  <c r="N22" i="10"/>
  <c r="O22" i="10" l="1"/>
  <c r="N21" i="10"/>
  <c r="N3" i="10" s="1"/>
  <c r="S17" i="10"/>
  <c r="R16" i="10"/>
  <c r="T17" i="10" l="1"/>
  <c r="S16" i="10"/>
  <c r="O21" i="10"/>
  <c r="O3" i="10" s="1"/>
  <c r="P22" i="10"/>
  <c r="Q22" i="10" l="1"/>
  <c r="P21" i="10"/>
  <c r="P3" i="10" s="1"/>
  <c r="T16" i="10"/>
  <c r="U17" i="10"/>
  <c r="U16" i="10" l="1"/>
  <c r="V17" i="10"/>
  <c r="R22" i="10"/>
  <c r="Q21" i="10"/>
  <c r="Q3" i="10" s="1"/>
  <c r="S22" i="10" l="1"/>
  <c r="R21" i="10"/>
  <c r="R3" i="10" s="1"/>
  <c r="T22" i="10" l="1"/>
  <c r="S21" i="10"/>
  <c r="S3" i="10" s="1"/>
  <c r="T21" i="10" l="1"/>
  <c r="U22" i="10"/>
  <c r="T3" i="10"/>
  <c r="U21" i="10" l="1"/>
  <c r="V22" i="10"/>
  <c r="V3" i="10" s="1"/>
  <c r="U3" i="10"/>
  <c r="H31" i="7" l="1"/>
  <c r="H30" i="7"/>
  <c r="H28" i="7" s="1"/>
  <c r="H29" i="7"/>
  <c r="H25" i="7"/>
  <c r="H24" i="7"/>
  <c r="H23" i="7"/>
  <c r="H22" i="7" s="1"/>
  <c r="H21" i="7"/>
  <c r="H17" i="7" s="1"/>
  <c r="H20" i="7"/>
  <c r="H19" i="7"/>
  <c r="H18" i="7"/>
  <c r="H16" i="7"/>
  <c r="H15" i="7"/>
  <c r="H14" i="7"/>
  <c r="H13" i="7"/>
  <c r="H12" i="7"/>
  <c r="H11" i="7"/>
  <c r="H5" i="7" s="1"/>
  <c r="H10" i="7"/>
  <c r="H9" i="7"/>
  <c r="H8" i="7"/>
  <c r="H7" i="7"/>
  <c r="H6" i="7"/>
  <c r="H33" i="7" l="1"/>
  <c r="AI23" i="1" l="1"/>
  <c r="AI22" i="1"/>
  <c r="AI19" i="1"/>
  <c r="AI21" i="1"/>
  <c r="H4" i="9"/>
  <c r="E20" i="9"/>
  <c r="C13" i="5"/>
  <c r="D9" i="8" l="1"/>
  <c r="D31" i="8" s="1"/>
  <c r="D26" i="8"/>
  <c r="D33" i="8" s="1"/>
  <c r="D18" i="8"/>
  <c r="D32" i="8" s="1"/>
  <c r="C10" i="4"/>
  <c r="C9" i="2"/>
  <c r="I58" i="3"/>
  <c r="J58" i="3" s="1"/>
  <c r="K58" i="3" s="1"/>
  <c r="I57" i="3"/>
  <c r="J57" i="3" s="1"/>
  <c r="K57" i="3" s="1"/>
  <c r="I56" i="3"/>
  <c r="J56" i="3" s="1"/>
  <c r="J55" i="3"/>
  <c r="K55" i="3" s="1"/>
  <c r="I55" i="3"/>
  <c r="J54" i="3"/>
  <c r="K54" i="3" s="1"/>
  <c r="I54" i="3"/>
  <c r="K53" i="3"/>
  <c r="J53" i="3"/>
  <c r="J52" i="3"/>
  <c r="K52" i="3" s="1"/>
  <c r="J51" i="3"/>
  <c r="K51" i="3" s="1"/>
  <c r="I50" i="3"/>
  <c r="K49" i="3"/>
  <c r="J49" i="3"/>
  <c r="I49" i="3"/>
  <c r="J48" i="3"/>
  <c r="I48" i="3"/>
  <c r="K48" i="3" s="1"/>
  <c r="I47" i="3"/>
  <c r="J47" i="3" s="1"/>
  <c r="K47" i="3" s="1"/>
  <c r="J46" i="3"/>
  <c r="K46" i="3" s="1"/>
  <c r="I46" i="3"/>
  <c r="H46" i="3"/>
  <c r="H45" i="3"/>
  <c r="I45" i="3" s="1"/>
  <c r="I44" i="3"/>
  <c r="K43" i="3"/>
  <c r="J43" i="3"/>
  <c r="I43" i="3"/>
  <c r="J42" i="3"/>
  <c r="I42" i="3"/>
  <c r="K42" i="3" s="1"/>
  <c r="I41" i="3"/>
  <c r="J41" i="3" s="1"/>
  <c r="K41" i="3" s="1"/>
  <c r="J40" i="3"/>
  <c r="K40" i="3" s="1"/>
  <c r="I40" i="3"/>
  <c r="I39" i="3"/>
  <c r="J39" i="3" s="1"/>
  <c r="J38" i="3"/>
  <c r="K38" i="3" s="1"/>
  <c r="I38" i="3"/>
  <c r="I37" i="3"/>
  <c r="K36" i="3"/>
  <c r="J36" i="3"/>
  <c r="I36" i="3"/>
  <c r="I35" i="3"/>
  <c r="J35" i="3" s="1"/>
  <c r="K35" i="3" s="1"/>
  <c r="I34" i="3"/>
  <c r="K33" i="3"/>
  <c r="J33" i="3"/>
  <c r="I33" i="3"/>
  <c r="J32" i="3"/>
  <c r="I32" i="3"/>
  <c r="K32" i="3" s="1"/>
  <c r="I31" i="3"/>
  <c r="J31" i="3" s="1"/>
  <c r="K31" i="3" s="1"/>
  <c r="J30" i="3"/>
  <c r="K30" i="3" s="1"/>
  <c r="I30" i="3"/>
  <c r="J29" i="3"/>
  <c r="I29" i="3"/>
  <c r="K29" i="3" s="1"/>
  <c r="J28" i="3"/>
  <c r="K28" i="3" s="1"/>
  <c r="I28" i="3"/>
  <c r="J27" i="3"/>
  <c r="I27" i="3"/>
  <c r="K27" i="3" s="1"/>
  <c r="H27" i="3"/>
  <c r="J26" i="3"/>
  <c r="I26" i="3"/>
  <c r="K26" i="3" s="1"/>
  <c r="J25" i="3"/>
  <c r="I25" i="3"/>
  <c r="K25" i="3" s="1"/>
  <c r="H24" i="3"/>
  <c r="I24" i="3" s="1"/>
  <c r="I23" i="3"/>
  <c r="J23" i="3" s="1"/>
  <c r="I22" i="3"/>
  <c r="J21" i="3"/>
  <c r="I21" i="3"/>
  <c r="K21" i="3" s="1"/>
  <c r="I20" i="3"/>
  <c r="K20" i="3" s="1"/>
  <c r="I19" i="3"/>
  <c r="K19" i="3" s="1"/>
  <c r="I18" i="3"/>
  <c r="K18" i="3" s="1"/>
  <c r="I17" i="3"/>
  <c r="K17" i="3" s="1"/>
  <c r="I16" i="3"/>
  <c r="K16" i="3" s="1"/>
  <c r="I15" i="3"/>
  <c r="K15" i="3" s="1"/>
  <c r="J14" i="3"/>
  <c r="I14" i="3"/>
  <c r="K14" i="3" s="1"/>
  <c r="J13" i="3"/>
  <c r="I13" i="3"/>
  <c r="K13" i="3" s="1"/>
  <c r="I12" i="3"/>
  <c r="I11" i="3"/>
  <c r="J11" i="3" s="1"/>
  <c r="K11" i="3" s="1"/>
  <c r="I10" i="3"/>
  <c r="J10" i="3" s="1"/>
  <c r="I9" i="3"/>
  <c r="I8" i="3"/>
  <c r="J8" i="3" s="1"/>
  <c r="I7" i="3"/>
  <c r="D34" i="8" l="1"/>
  <c r="K22" i="3"/>
  <c r="J45" i="3"/>
  <c r="K45" i="3" s="1"/>
  <c r="J24" i="3"/>
  <c r="K24" i="3" s="1"/>
  <c r="K12" i="3"/>
  <c r="K23" i="3"/>
  <c r="K39" i="3"/>
  <c r="K56" i="3"/>
  <c r="J37" i="3"/>
  <c r="K37" i="3" s="1"/>
  <c r="J34" i="3"/>
  <c r="K34" i="3" s="1"/>
  <c r="J44" i="3"/>
  <c r="K44" i="3" s="1"/>
  <c r="J50" i="3"/>
  <c r="K50" i="3" s="1"/>
  <c r="K8" i="3"/>
  <c r="J12" i="3"/>
  <c r="J9" i="3"/>
  <c r="K9" i="3" s="1"/>
  <c r="J22" i="3"/>
  <c r="J7" i="3"/>
  <c r="K10" i="3"/>
  <c r="I59" i="3"/>
  <c r="J59" i="3" l="1"/>
  <c r="K7" i="3"/>
  <c r="K5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Dang Thi Thanh. Hien [Garden-ACC]</author>
  </authors>
  <commentList>
    <comment ref="A5" authorId="0" shapeId="0" xr:uid="{24C3BF59-28FF-3E4E-9BE0-28EA34BE7DF7}">
      <text>
        <r>
          <rPr>
            <sz val="9"/>
            <color indexed="81"/>
            <rFont val="Tahoma"/>
            <family val="2"/>
          </rPr>
          <t>gộp BDG Admin - cước các loại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Dang Thi Thanh Hien</author>
  </authors>
  <commentList>
    <comment ref="A11" authorId="0" shapeId="0" xr:uid="{B07C66FC-A9C9-2D49-BD24-0B62304FFFD5}">
      <text>
        <r>
          <rPr>
            <b/>
            <sz val="9"/>
            <color indexed="81"/>
            <rFont val="Tahoma"/>
            <family val="2"/>
          </rPr>
          <t xml:space="preserve"> giai đoạn 2</t>
        </r>
        <r>
          <rPr>
            <sz val="9"/>
            <color indexed="81"/>
            <rFont val="Tahoma"/>
            <family val="2"/>
          </rPr>
          <t xml:space="preserve">
</t>
        </r>
      </text>
    </comment>
  </commentList>
</comments>
</file>

<file path=xl/sharedStrings.xml><?xml version="1.0" encoding="utf-8"?>
<sst xmlns="http://schemas.openxmlformats.org/spreadsheetml/2006/main" count="2051" uniqueCount="899">
  <si>
    <t>BITEXCO PROPERTY</t>
  </si>
  <si>
    <t>Tầm nhìn Bitexco/Bitexco Vision</t>
  </si>
  <si>
    <t>Bitexco Group's goal is to be a leading international, multi-industry corporation. We aim to be globally competitive by executing world-class projects, thus making a significant contribution to the economic development and future of Vietnam./Mục tiêu của Tập đoàn Bitexco là trở thành một tập đoàn quốc tế, đa ngành hàng đầu. Chúng tôi đặt mục tiêu cạnh tranh toàn cầu bằng cách thực hiện các dự án đẳng cấp thế giới, đóng góp vào sự phát triển kinh tế và tương lai của Việt Nam.</t>
  </si>
  <si>
    <t>Department Vision/Tầm nhìn Bộ phận</t>
  </si>
  <si>
    <t>Ban Công nghệ Thông tin Bitexco định hướng trở thành động lực chiến lược trong hành trình chuyển đổi Công ty bất động sản truyền thống của Bitexco thành Công ty Công nghệ Bất động sản (PropTech), thông qua việc xây dựng và vận hành nền tảng công nghệ và dữ liệu hiện đại, an toàn, linh hoạt, làm nền tảng cho quản lý, vận hành và đầu tư tài sản hiệu quả, minh bạch và bền vững, góp phần nâng cao năng lực cạnh tranh và giá trị dài hạn của Bitexco.
The Information Technology Division of Bitexco is positioned to become a strategic driving force in transforming Bitexco from a traditional real estate company into a Real Estate Technology (PropTech) company, by building and operating modern, secure, and flexible technology and data platforms that serve as the foundation for efficient, transparent, and sustainable asset management, operations, and investment, thereby enhancing Bitexco’s competitiveness and long-term value.</t>
  </si>
  <si>
    <t>Sứ mệnh Bitexco/Bitexco Mission</t>
  </si>
  <si>
    <t xml:space="preserve">Bitexco Group has always played a pioneering role in the key areas of the Vietnamese economy. We always strive to develop and introduce international standards into every our project. Our staff &amp; the member companies in the Group always strive to achieve the highest standards. Contributing to Vietnam's economic development and improving people's quality of life is at the heart of our business philosophy. As an international corporation, Bitexco Group is responsible for contributing to the national interests and promoting the image of a dynamic and prosperous Vietnam around the world. In increasingly modernized world nowadays, Bitexco Group's top priority is solid economic development both at home and abroad. /Tập đoàn Bitexco luôn đóng vai trò tiên phong trong các lĩnh vực then chốt của nền  kinh tế Việt Nam. Chúng tôi luôn nỗ lực phấn đấu phát triển và đưa các tiêu chuẩn  quốc tế vào từng dự án chúng tôi thực hiện. Đội ngũ cán bộ nhân viên cũng như các  công ty thành viên trong Tập đoàn luôn không ngừng phấn đấu đạt tới chuẩn mực  cao nhất. Góp phần vào quá trình phát triển kinh tế Việt Nam và nâng cao chất lượng sống cho  người dân là trọng tâm của triết lý kinh doanh của chúng tôi. Với vai trò là một Tập  đoàn mang tầm vóc quốc tế, Tập đoàn Bitexco có trách nhiệm đóng góp vào lợi ích  quốc gia và quảng bá hình ảnh về một đất nước Việt Nam năng động và thịnh vượng  trên toàn thế giới. Trong một thế giới hiện đại hoá ngày càng sâu rộng như hiện nay, ưu tiên trọng tâm  hàng đầu của Tập đoàn chúng tôi là phát triển kinh tế bền vững ở cả trong và ngoài  nước.
</t>
  </si>
  <si>
    <t>Sứ mệnh Bộ phận/Department Mission</t>
  </si>
  <si>
    <t>Ban Công nghệ Thông tin Bitexco có sứ mệnh dẫn dắt và đồng hành cùng Tập đoàn chuyển dịch từ mô hình phát triển bất động sản truyền thống sang mô hình quản lý, đầu tư và vận hành tài sản dựa trên công nghệ và dữ liệu, coi dữ liệu là tài sản chiến lược, từng bước xây dựng Bitexco trở thành Doanh nghiệp Công nghệ Bất động sản (PropTech), nâng cao hiệu quả vận hành, đầu tư và năng lực cạnh tranh dài hạn.
The Information Technology Division of Bitexco leads and supports the Group’s transition to a technology- and data-driven asset management, investment, and operations model, treating data as a strategic asset and progressively transforming Bitexco into a Real Estate Technology (PropTech) enterprise to enhance operational efficiency and long-term competitiveness.</t>
  </si>
  <si>
    <t>Chiến lược của Bitexco Property/
Strategy of Bitexco Property</t>
  </si>
  <si>
    <t>Công ty Công nghệ Bất động sản/Property Technology Company (PropTech Company)</t>
  </si>
  <si>
    <t>Vai trò phối hợp của các bộ phận trong Property/Coordinating roles of functional departments in Property: R - Thực hiện chính/Main Responsible; S - Hỗ trợ thực hiện/Support; C - Bên tham vấn/Consult, I - Bên nhận thông tin/Informed, A - Phê duyệt kết quả/Approve</t>
  </si>
  <si>
    <r>
      <rPr>
        <sz val="12"/>
        <color theme="1"/>
        <rFont val="Times New Roman"/>
        <family val="1"/>
      </rPr>
      <t xml:space="preserve">Property internal personnel' roles: </t>
    </r>
    <r>
      <rPr>
        <b/>
        <sz val="12"/>
        <color theme="1"/>
        <rFont val="Times New Roman"/>
        <family val="1"/>
      </rPr>
      <t xml:space="preserve">R </t>
    </r>
    <r>
      <rPr>
        <sz val="12"/>
        <color theme="1"/>
        <rFont val="Times New Roman"/>
        <family val="1"/>
      </rPr>
      <t xml:space="preserve">- Thực hiện chính/Main Responsible; </t>
    </r>
    <r>
      <rPr>
        <b/>
        <sz val="12"/>
        <color theme="1"/>
        <rFont val="Times New Roman"/>
        <family val="1"/>
      </rPr>
      <t>S</t>
    </r>
    <r>
      <rPr>
        <sz val="12"/>
        <color theme="1"/>
        <rFont val="Times New Roman"/>
        <family val="1"/>
      </rPr>
      <t xml:space="preserve"> - Hỗ trợ thực hiện/Support; </t>
    </r>
    <r>
      <rPr>
        <b/>
        <sz val="12"/>
        <color theme="1"/>
        <rFont val="Times New Roman"/>
        <family val="1"/>
      </rPr>
      <t xml:space="preserve">C </t>
    </r>
    <r>
      <rPr>
        <sz val="12"/>
        <color theme="1"/>
        <rFont val="Times New Roman"/>
        <family val="1"/>
      </rPr>
      <t>- Bên tham vấn/Consult,</t>
    </r>
    <r>
      <rPr>
        <b/>
        <sz val="12"/>
        <color theme="1"/>
        <rFont val="Times New Roman"/>
        <family val="1"/>
      </rPr>
      <t xml:space="preserve"> A</t>
    </r>
    <r>
      <rPr>
        <sz val="12"/>
        <color theme="1"/>
        <rFont val="Times New Roman"/>
        <family val="1"/>
      </rPr>
      <t xml:space="preserve"> - Chịu trách nhiệm kết quả của bộ phận/Accountable for department's results</t>
    </r>
  </si>
  <si>
    <t>R, S, C, I: Có thể liên quan nhiều bộ phận trên mỗi dòng công việc/ May involve multiple departments each line; A: chỉ điền 1 bộ phận trên mỗi dòng công việc/ Only fill one department is ultimately accountable for each line</t>
  </si>
  <si>
    <r>
      <rPr>
        <b/>
        <sz val="12"/>
        <color theme="1"/>
        <rFont val="Times New Roman"/>
        <family val="1"/>
      </rPr>
      <t>R, S, C</t>
    </r>
    <r>
      <rPr>
        <sz val="12"/>
        <color theme="1"/>
        <rFont val="Times New Roman"/>
        <family val="1"/>
      </rPr>
      <t xml:space="preserve">: Có thể liên quan nhiều người trên mỗi dòng công việc/ May involve multiple individuals each line; </t>
    </r>
    <r>
      <rPr>
        <b/>
        <sz val="12"/>
        <color theme="1"/>
        <rFont val="Times New Roman"/>
        <family val="1"/>
      </rPr>
      <t>A</t>
    </r>
    <r>
      <rPr>
        <sz val="12"/>
        <color theme="1"/>
        <rFont val="Times New Roman"/>
        <family val="1"/>
      </rPr>
      <t>: chỉ điền 1 người trên mỗi dòng công việc/ Only fill one individual is ultimately accountable for each line</t>
    </r>
  </si>
  <si>
    <r>
      <rPr>
        <b/>
        <sz val="12"/>
        <color theme="1"/>
        <rFont val="Times New Roman"/>
        <family val="1"/>
      </rPr>
      <t xml:space="preserve">Stt/
</t>
    </r>
    <r>
      <rPr>
        <i/>
        <sz val="12"/>
        <color theme="1"/>
        <rFont val="Times New Roman"/>
        <family val="1"/>
      </rPr>
      <t>No</t>
    </r>
  </si>
  <si>
    <r>
      <rPr>
        <b/>
        <sz val="12"/>
        <color theme="1"/>
        <rFont val="Times New Roman"/>
        <family val="1"/>
      </rPr>
      <t xml:space="preserve">Phân nhóm chức năng của Bộ phận/
</t>
    </r>
    <r>
      <rPr>
        <i/>
        <sz val="12"/>
        <color theme="1"/>
        <rFont val="Times New Roman"/>
        <family val="1"/>
      </rPr>
      <t>Functional grouping of Department</t>
    </r>
  </si>
  <si>
    <r>
      <rPr>
        <b/>
        <sz val="12"/>
        <color theme="1"/>
        <rFont val="Times New Roman"/>
        <family val="1"/>
      </rPr>
      <t xml:space="preserve">Mục tiêu của Bộ phận/
</t>
    </r>
    <r>
      <rPr>
        <i/>
        <sz val="12"/>
        <color theme="1"/>
        <rFont val="Times New Roman"/>
        <family val="1"/>
      </rPr>
      <t>Objectives of Department</t>
    </r>
  </si>
  <si>
    <r>
      <rPr>
        <b/>
        <sz val="12"/>
        <color theme="1"/>
        <rFont val="Times New Roman"/>
        <family val="1"/>
      </rPr>
      <t xml:space="preserve">Kết quả chính cần đạt được trong năm 2026 của Bộ phận
</t>
    </r>
    <r>
      <rPr>
        <i/>
        <sz val="12"/>
        <color theme="1"/>
        <rFont val="Times New Roman"/>
        <family val="1"/>
      </rPr>
      <t>2026 Key Deliverables of Department</t>
    </r>
    <r>
      <rPr>
        <b/>
        <sz val="12"/>
        <color theme="1"/>
        <rFont val="Times New Roman"/>
        <family val="1"/>
      </rPr>
      <t xml:space="preserve">
</t>
    </r>
  </si>
  <si>
    <t>BOD Property</t>
  </si>
  <si>
    <t>CEO JSC</t>
  </si>
  <si>
    <t>CEO The Garden</t>
  </si>
  <si>
    <t>CEO BWP</t>
  </si>
  <si>
    <t>CEO BHMC</t>
  </si>
  <si>
    <t>Mr. Park</t>
  </si>
  <si>
    <t>Phát triển dự án/ PDD 
 (Ms. Huyền)</t>
  </si>
  <si>
    <t>Quản lý Thiết kế/ DMD</t>
  </si>
  <si>
    <t>Quản lý dự án/ PMD</t>
  </si>
  <si>
    <t>Kiểm soát Khối lượng/ QS, T&amp;P</t>
  </si>
  <si>
    <t>PMG</t>
  </si>
  <si>
    <t>Marketing</t>
  </si>
  <si>
    <t>PR</t>
  </si>
  <si>
    <t>Kinh doanh nhà/ Sales
 (Ms. Phượng)</t>
  </si>
  <si>
    <t>Chăm sóc khách hàng/ CS 
 (Ms. Phượng)</t>
  </si>
  <si>
    <t>Leasing</t>
  </si>
  <si>
    <t>F&amp;B</t>
  </si>
  <si>
    <t>Non F&amp;B</t>
  </si>
  <si>
    <t>Starfitness</t>
  </si>
  <si>
    <t>CRM</t>
  </si>
  <si>
    <t>Skydeck</t>
  </si>
  <si>
    <t>Tài chính/ Finance</t>
  </si>
  <si>
    <t>Kế toán/ Accounting</t>
  </si>
  <si>
    <t>Nhân sự/ HR</t>
  </si>
  <si>
    <t>Hành chính/ Admin</t>
  </si>
  <si>
    <t>Pháp lý/ Legal</t>
  </si>
  <si>
    <t>IT</t>
  </si>
  <si>
    <t>Tổng hợp/ General Affairs</t>
  </si>
  <si>
    <r>
      <rPr>
        <b/>
        <sz val="12"/>
        <color theme="1"/>
        <rFont val="Times New Roman"/>
        <family val="1"/>
      </rPr>
      <t xml:space="preserve">Tên các Công ty, Dự án cần phụ trách
</t>
    </r>
    <r>
      <rPr>
        <i/>
        <sz val="12"/>
        <color theme="1"/>
        <rFont val="Times New Roman"/>
        <family val="1"/>
      </rPr>
      <t xml:space="preserve">Names of companies, projects to be in charge of </t>
    </r>
  </si>
  <si>
    <r>
      <rPr>
        <b/>
        <sz val="12"/>
        <color theme="1"/>
        <rFont val="Times New Roman"/>
        <family val="1"/>
      </rPr>
      <t xml:space="preserve">Tên đối tác thuê ngoài cụ thể/loại hình đối tác thuê ngoài
</t>
    </r>
    <r>
      <rPr>
        <i/>
        <sz val="12"/>
        <color theme="1"/>
        <rFont val="Times New Roman"/>
        <family val="1"/>
      </rPr>
      <t>Name of specific outsourced partners / type of outsourced partners</t>
    </r>
  </si>
  <si>
    <r>
      <t xml:space="preserve">Ngân sách thuê ngoài
</t>
    </r>
    <r>
      <rPr>
        <i/>
        <sz val="12"/>
        <color theme="1"/>
        <rFont val="Times New Roman"/>
        <family val="1"/>
      </rPr>
      <t>Outsourcing Budget (tỷ đồng/billion dong)</t>
    </r>
  </si>
  <si>
    <t>PHẠM THỊ MAI</t>
  </si>
  <si>
    <t>NGUYỄN VĂN THÀNH</t>
  </si>
  <si>
    <t>LÊ QUANG HUY</t>
  </si>
  <si>
    <t>NGUYỄN NHƯ THÀNH</t>
  </si>
  <si>
    <t>VŨ VĂN LONG</t>
  </si>
  <si>
    <t>NGUYỄN THÀNH LÂM</t>
  </si>
  <si>
    <t>GARDEN-SW</t>
  </si>
  <si>
    <t>TẠ THÀNH ĐƯC</t>
  </si>
  <si>
    <t>LÀM THANH HOÀNG</t>
  </si>
  <si>
    <t>NGÔ TRỌNG KHOA</t>
  </si>
  <si>
    <t>IT - MINH QUANG</t>
  </si>
  <si>
    <t>IT - BHMC</t>
  </si>
  <si>
    <t>I</t>
  </si>
  <si>
    <t>XÂY DỰNG CHIẾN LƯỢC/STRATEGY DEVELOPMENT</t>
  </si>
  <si>
    <t>BITEXCO PROPERTY:
 BITEXCO JSC VP,
 BFT, TMCP
 THE GARDEN,
 AURA/BHMC,
 MINH QUANG,
 BIGNANOTECH,
 BIGCAPTAL,
 OV, KLOES/DW,
 BTC&amp;BIG ENERGY,
 THEMANOR/BMTL/PMG,
 THESTARFITNESS,
 DADAY/BT-CHUVANAN,
 Diamond</t>
  </si>
  <si>
    <t>FPT Digital,
 CMC solution,
 EY-Parthenon,
 JLL (Technology Advisory)</t>
  </si>
  <si>
    <t>R - Responsible</t>
  </si>
  <si>
    <t>S - Support</t>
  </si>
  <si>
    <t>Xây dựng Chiến lược CNTT &amp; Chuyển đổi số BĐS/Chiến lược PropTech</t>
  </si>
  <si>
    <t>Định hướng CNTT trở thành nền tảng cốt lõi cho phát triển – quản lý – đầu tư BĐS</t>
  </si>
  <si>
    <t>Ban hành Chiến lược CNTT &amp; DX 2026–2030 gắn với chiến lược Tập đoàn</t>
  </si>
  <si>
    <t>A</t>
  </si>
  <si>
    <t>S</t>
  </si>
  <si>
    <t xml:space="preserve">R </t>
  </si>
  <si>
    <t>Chiến lược Dữ liệu &amp; AI</t>
  </si>
  <si>
    <t>Xem dữ liệu là tài sản (Data as Asset)</t>
  </si>
  <si>
    <t>Khung Data Strategy, AI Strategy, danh mục use-case ưu tiên</t>
  </si>
  <si>
    <t>Kiến trúc CNTT &amp; Nền tảng số</t>
  </si>
  <si>
    <t>Chuẩn hóa kiến trúc ứng dụng – hạ tầng</t>
  </si>
  <si>
    <t>Enterprise Architecture, Application Map, Integration Blueprint</t>
  </si>
  <si>
    <t>Chiến lược An toàn thông tin &amp; Quản trị rủi ro</t>
  </si>
  <si>
    <t>Bảo vệ tài sản số và tuân thủ</t>
  </si>
  <si>
    <t>Khung Cybersecurity, DRP, BCP, Zero Trust</t>
  </si>
  <si>
    <t>Chiến lược ERP &amp; Hệ thống lõi</t>
  </si>
  <si>
    <t>Hiện đại hóa hệ thống tài chính – vận hành</t>
  </si>
  <si>
    <t>Lộ trình ERP (Cloud/Hybrid), thay thế/chuẩn hóa hệ thống</t>
  </si>
  <si>
    <t>Chiến lược IT Governance</t>
  </si>
  <si>
    <t>Minh bạch quản trị CNTT</t>
  </si>
  <si>
    <t>Chiến lược Nhân sự CNTT</t>
  </si>
  <si>
    <t>Xây dựng đội ngũ CNTT chiến lược</t>
  </si>
  <si>
    <t>IT Skill, kế hoạch đào tạo &amp; tuyển dụng</t>
  </si>
  <si>
    <t>II</t>
  </si>
  <si>
    <t>THỰC THI CHIẾN LƯỢC/STRATEGY IMPLEMENTATION</t>
  </si>
  <si>
    <t>Triển khai ERP &amp; Core Systems
Triển khai Data Platform &amp; BI,
 [Integration &amp; Automation (API, AI),]</t>
  </si>
  <si>
    <t>Chuẩn hóa tài chính – kế toán – quản trị</t>
  </si>
  <si>
    <t>ERP vận hành ổn định, dữ liệu tập trung</t>
  </si>
  <si>
    <t>R</t>
  </si>
  <si>
    <t>HỆ SINH THÁI BITEXCO</t>
  </si>
  <si>
    <t>SAP/BRAVO/MISA/FPT/CITEX</t>
  </si>
  <si>
    <t>A - Accountable</t>
  </si>
  <si>
    <t>HRM, Portal, eContract, eInvoice, DMS/Adm</t>
  </si>
  <si>
    <t>Chuẩn hoá quản trị nhân sự</t>
  </si>
  <si>
    <t>Xây dựng Digital Workplace thống nhất, số hóa toàn bộ quản trị nhân sự</t>
  </si>
  <si>
    <t>FPT IS/Gimasys/CMC TS/Misa/VNPT iOffice/SAP-SuccessFactors/BRAVO/..</t>
  </si>
  <si>
    <t>Office365/Clound: Sharepoint, AI, Communication, MeetingRoom,.WorkSpace.</t>
  </si>
  <si>
    <t>VIIETTEL, FPT</t>
  </si>
  <si>
    <t>CDP – Data Marketing;
CRM (AURA,GD,TMCP,BFT), BitexcoOne/Loyalty,</t>
  </si>
  <si>
    <t>Ra quyết định dựa trên dữ liệu</t>
  </si>
  <si>
    <t>Data Warehouse, CDP, BI Dashboard cho BOD</t>
  </si>
  <si>
    <t>FPT Digital, Gimasys,
 FPT Software, CMC TS,
 Salesforce, Deloitte/FPT, Microsoft,
 FPT IS, VNPAY, Itel</t>
  </si>
  <si>
    <t xml:space="preserve">1&gt;Triển khai AI &amp; Automation/MarTech Platform
2&gt;Performance Marketing (Lead Generation)
3&gt;Content – Website – Landing Page
4&gt;Omni-channel &amp; Automation
</t>
  </si>
  <si>
    <t>Tăng hiệu suất, giảm chi phí vận hành</t>
  </si>
  <si>
    <t>AI Agents, RPA cho Finance, HR, Leasing</t>
  </si>
  <si>
    <t>FPT Software, CMC TS, 
 DXC Technology, ITEL.
 Novaon Digital
 PMAX, CleverAds</t>
  </si>
  <si>
    <t>5&gt;POS, Hospitality sercies</t>
  </si>
  <si>
    <t xml:space="preserve">Garden,Fitness, </t>
  </si>
  <si>
    <t>CMC</t>
  </si>
  <si>
    <t>1&gt;Quản lý tài sản BĐS (CAFM, P.PMS)
 2&gt;QL Vận hành – bảo trì: CMS, Mobi,
 3&gt;Smart Building &amp; Building Systems (BMS, IoT Sensors)
 5&gt;Data – AI cho BĐS, BIM, TENDER
Integration &amp; Automation (API, AI)</t>
  </si>
  <si>
    <t>Số hóa vận hành BĐS</t>
  </si>
  <si>
    <t>BIM, CMMS, CAFM, BMS tích hợp</t>
  </si>
  <si>
    <t>Planon (JLL, Savills),
 Spacewell (FM, IoT),
 IBM Maximo (FPT, CMC),
 Schneider Electric,
 Siemens,
 Honeywell,
 MRI Software (Ls, Tenant),
 SAP RE-FX
 Autodesk.
 FPT Digital,
 DXC Technology,
 CMS TS.</t>
  </si>
  <si>
    <r>
      <t xml:space="preserve">Nền tảng lõi quản lý dự án &amp; thiết kế (PDP)
</t>
    </r>
    <r>
      <rPr>
        <sz val="12"/>
        <color theme="1"/>
        <rFont val="Calibri"/>
        <family val="2"/>
        <scheme val="minor"/>
      </rPr>
      <t>(Core Project &amp; Design Platform (PDP))</t>
    </r>
  </si>
  <si>
    <t>DX for DMD, PDD</t>
  </si>
  <si>
    <t>PDP, approval workflows, BIM/CDE, data standards</t>
  </si>
  <si>
    <t>1GIS Landbank &amp; Risk Platform
Best Use Analysis Tool
Feasibility Engine (Living Financial Model)</t>
  </si>
  <si>
    <t>DX For PDD</t>
  </si>
  <si>
    <t>Leasing &amp; Tenant system,
C.PMS (Quản lý cư dân)</t>
  </si>
  <si>
    <t>Liên thông dữ liệu toàn hệ sinh thái</t>
  </si>
  <si>
    <t>ESB/API Gateway hoạt động ổn định</t>
  </si>
  <si>
    <t>FPT, CMC, Viettel,DXC Technology</t>
  </si>
  <si>
    <t>Chuyển đổi hạ tầng CNTT</t>
  </si>
  <si>
    <t>Đảm bảo hiệu năng – sẵn sàng cao</t>
  </si>
  <si>
    <t>Cloud/Hybrid, HA, DR site</t>
  </si>
  <si>
    <t>Thực thi An toàn thông tin, chuẩn hoá dữ liệu, ứng dụng</t>
  </si>
  <si>
    <t>Giảm thiểu rủi ro CNTT</t>
  </si>
  <si>
    <t>IAM, MFA, EDR/XDR, SIEM</t>
  </si>
  <si>
    <t>Quản lý dự án CNTT</t>
  </si>
  <si>
    <t>Đảm bảo tiến độ – chất lượng</t>
  </si>
  <si>
    <t>PMO CNTT, chuẩn Agile/Waterfall</t>
  </si>
  <si>
    <t>Chuẩn hóa vận hành CNTT</t>
  </si>
  <si>
    <t>Tăng tính ổn định hệ thống</t>
  </si>
  <si>
    <t>ITIL processes, SOP CNTT</t>
  </si>
  <si>
    <t>Quản lý nhà cung cấp CNTT,</t>
  </si>
  <si>
    <t>Tối ưu chi phí &amp; chất lượng</t>
  </si>
  <si>
    <t>Tối ưu chi phí &amp; chất lượng, SLA (Service Level Agreement)</t>
  </si>
  <si>
    <t>Số hoá dự án, văn phòng số ((SAN, Hyperid, SP)</t>
  </si>
  <si>
    <t>Số hoá, tập trung và quản trị toàn bộ hồ sơ của doanh nghiệp BĐS theo vòng đời,</t>
  </si>
  <si>
    <t>Giảm thời gian tìm kiếm hồ sơ</t>
  </si>
  <si>
    <t>POS,</t>
  </si>
  <si>
    <t>III</t>
  </si>
  <si>
    <t>VẬN HÀNH/ OPERATION</t>
  </si>
  <si>
    <t>Vận hành hệ thống CNTT</t>
  </si>
  <si>
    <t>Đảm bảo hệ thống ổn định 24/7</t>
  </si>
  <si>
    <t>Uptime ≥ 99.9%, SLA đạt cam kết</t>
  </si>
  <si>
    <t>C - Consult</t>
  </si>
  <si>
    <t>Hỗ trợ người dùng &amp; nghiệp vụ</t>
  </si>
  <si>
    <t>CNTT phục vụ kinh doanh</t>
  </si>
  <si>
    <t>Service Desk,Uptime ≥ 90%</t>
  </si>
  <si>
    <t>Quản lý tài sản CNTT</t>
  </si>
  <si>
    <t>Kiểm soát chi phí và vòng đời</t>
  </si>
  <si>
    <t>IT Asset Management, License Compliance</t>
  </si>
  <si>
    <t>IV</t>
  </si>
  <si>
    <t>OTHERS</t>
  </si>
  <si>
    <t>BFT (19B)</t>
  </si>
  <si>
    <t>THE GARDEN (4B)</t>
  </si>
  <si>
    <t xml:space="preserve">BHMC/AURA </t>
  </si>
  <si>
    <t>IT PROJECTS PLANNING</t>
  </si>
  <si>
    <t>IT Projects</t>
  </si>
  <si>
    <t>Duration: Dec, 2026</t>
  </si>
  <si>
    <t>Project</t>
  </si>
  <si>
    <t>Item</t>
  </si>
  <si>
    <t>Cost (Million)</t>
  </si>
  <si>
    <t>B.Parter</t>
  </si>
  <si>
    <t>Start Date</t>
  </si>
  <si>
    <t>End Date</t>
  </si>
  <si>
    <t>Status</t>
  </si>
  <si>
    <t>Jan</t>
  </si>
  <si>
    <t>Feb</t>
  </si>
  <si>
    <t>March</t>
  </si>
  <si>
    <t>April</t>
  </si>
  <si>
    <t>May</t>
  </si>
  <si>
    <t>June</t>
  </si>
  <si>
    <t>July</t>
  </si>
  <si>
    <t>Aug</t>
  </si>
  <si>
    <t>Sept</t>
  </si>
  <si>
    <t>Oct</t>
  </si>
  <si>
    <t>Nov</t>
  </si>
  <si>
    <t>Dec</t>
  </si>
  <si>
    <t>OPEX &amp; CAPEX</t>
  </si>
  <si>
    <t>Week 1</t>
  </si>
  <si>
    <t>Week 2</t>
  </si>
  <si>
    <t>Week 3</t>
  </si>
  <si>
    <t>Week 4</t>
  </si>
  <si>
    <t>BITEXCO JSC</t>
  </si>
  <si>
    <t xml:space="preserve">02.System Administration &amp; Infrastructure/Network
</t>
  </si>
  <si>
    <t>Mua mới máy tính cho CBNV mới (dự kiến theo HR gửi thông tin )</t>
  </si>
  <si>
    <t>✅ Completed</t>
  </si>
  <si>
    <t>Network system, Licenses (duy trì SSL, Domain)</t>
  </si>
  <si>
    <t>✏️ In progress</t>
  </si>
  <si>
    <t xml:space="preserve">Network system, Leadline Viettel </t>
  </si>
  <si>
    <t>👀 Under review</t>
  </si>
  <si>
    <t>Office365 - 18 Cloud lưu trữ JSC</t>
  </si>
  <si>
    <t>Apples account. - yearly ($99)</t>
  </si>
  <si>
    <t>Google Acc DEV</t>
  </si>
  <si>
    <t xml:space="preserve">Nâng cấp hệ thống bảo mật mail, và chống spam mail </t>
  </si>
  <si>
    <t>License Antivirus Symantec JSC ( 90PC )</t>
  </si>
  <si>
    <t>Chi phí dự phòng sửa chữa nâng cấp JSC</t>
  </si>
  <si>
    <t>Hệ thống wifi, máy chủ OV tòa tây</t>
  </si>
  <si>
    <t>Chi phí license windows, SQL, cho máy chủ</t>
  </si>
  <si>
    <t>Mua dụng cụ sửa chữa thay thế máy tính, mạng…</t>
  </si>
  <si>
    <t>Mua mới 10 user office 365 Basic</t>
  </si>
  <si>
    <t xml:space="preserve">Nâng cấp ổ cứng lưu trữ cho hệ thống SAN Storage </t>
  </si>
  <si>
    <t>Nâng cấp dung lượng và bộ nhớ RAM cho máy chủ mail ngày càng phình to</t>
  </si>
  <si>
    <t>Mua Mới máy tính cho IT ( Huylq, Longvv ) đã sử dụng hơn 5 năm</t>
  </si>
  <si>
    <t>Trang bị thêm các bộ phát wifi thay thế các dòng sản phẩm cũ</t>
  </si>
  <si>
    <t>Xây dựng mói phòng máy chủ xuống hầm B2 GD theo chỉ đạo của MD Hà với S=35m2</t>
  </si>
  <si>
    <t>Mua mới 02 Lap thiết kế, 01 PC thiết kế chạy AI</t>
  </si>
  <si>
    <t>Gia hạn Zoommeting 03 acc</t>
  </si>
  <si>
    <t>Xây dựng Private Cloud ( mua platform Redhat dựng trên TB phần cứng của mình)</t>
  </si>
  <si>
    <t xml:space="preserve">03.Application Development &amp; Solution Management
</t>
  </si>
  <si>
    <t>Xây dựng lại hệ thống ERP (SAP/BRAVO/MISA)</t>
  </si>
  <si>
    <t>DX: AKChain (UX,CX,Loyalty, CDP-Dulieu Khach hang)/BItexcoOne</t>
  </si>
  <si>
    <t>MKT, IT</t>
  </si>
  <si>
    <r>
      <rPr>
        <sz val="11"/>
        <color rgb="FF000000"/>
        <rFont val="Aptos Narrow"/>
      </rPr>
      <t>DX: AKInsight (</t>
    </r>
    <r>
      <rPr>
        <b/>
        <sz val="11"/>
        <color rgb="FF000000"/>
        <rFont val="Aptos Narrow"/>
      </rPr>
      <t>Data Lake, BIj)</t>
    </r>
  </si>
  <si>
    <t xml:space="preserve">Datalake for each specialized field </t>
  </si>
  <si>
    <t>BI design (DB, UI, UX, ACCOUNT)</t>
  </si>
  <si>
    <t>Báo cáo quản trị/ERP/BRAVO</t>
  </si>
  <si>
    <t>Hệ thống quản lý nhân sự (HRM)</t>
  </si>
  <si>
    <t>Portal Upgd/EA/ABSENT/VPP/…/eOffice (VP SỐ)</t>
  </si>
  <si>
    <t>Server for DC (Dự tính server triển khai TC_KT: 3 Server (1:App, 2: Core))</t>
  </si>
  <si>
    <t>TENDER/PURCHASING management system</t>
  </si>
  <si>
    <t>IT, QS, EPL</t>
  </si>
  <si>
    <t>KPI; Portal; BitexcoRun; PDS; AMS; POS/CRM; BitexcoSport;..</t>
  </si>
  <si>
    <t>HỆ THỐNG QUẢN LÝ TOÀ NHÀ, TENANT (For HighRise &amp; Block13)</t>
  </si>
  <si>
    <t xml:space="preserve">04.Data Center, PMO &amp; Digital Projects
</t>
  </si>
  <si>
    <t xml:space="preserve">Wifi Marketing, Websites </t>
  </si>
  <si>
    <t>TMCP, BFT, AURA, NANO, ENERGY, GARDEN, MQ,</t>
  </si>
  <si>
    <t>CCTV TTTM, Mkt-Flatform</t>
  </si>
  <si>
    <t>Garden, TMCP,</t>
  </si>
  <si>
    <t>AI Tool, AI flatform,</t>
  </si>
  <si>
    <t>05.Provides consulting and services across key technology and management domains.</t>
  </si>
  <si>
    <t>BFT (Bitexco Financial Tower)</t>
  </si>
  <si>
    <t>MINH QUANG (HN/HCM)</t>
  </si>
  <si>
    <t>Hợp đồng số, Văn Phòng Số</t>
  </si>
  <si>
    <t>Hệ thống quản lý dự án xây dựng, cơ điện (SW, Apps)</t>
  </si>
  <si>
    <t>ePortal/EA/Sharepoint/Sites/Website/FanPages,.. (nâng cấp)</t>
  </si>
  <si>
    <t>eMail-Hyperrid; Cloud;..(nâng cấp)</t>
  </si>
  <si>
    <t>THE GARDEN</t>
  </si>
  <si>
    <t>BIGCAPITAL (HN/HCM/GLOBAL/Enrg)</t>
  </si>
  <si>
    <t>Máy móc thiết bị</t>
  </si>
  <si>
    <t>Cloud/data/</t>
  </si>
  <si>
    <t>Sites-SharePoint/</t>
  </si>
  <si>
    <t>Hệ thống TCKT/ERP</t>
  </si>
  <si>
    <t>BITEXCO ENERGY (HN/HCM)</t>
  </si>
  <si>
    <t>Hệ thống phân tích địa trấn</t>
  </si>
  <si>
    <t>Sites-SharePoint/Websites</t>
  </si>
  <si>
    <t>DIAMOND</t>
  </si>
  <si>
    <t>EA &amp; Quản lý bán hàng</t>
  </si>
  <si>
    <t>BUDGET CNTT PHỤC VỤ DX TÀI CHÍNH – KẾ TOÁN</t>
  </si>
  <si>
    <t>Nhóm hệ thống / System Category (VN/EN)</t>
  </si>
  <si>
    <t>Hệ thống – Giải pháp &amp; Vai trò (VN / EN)</t>
  </si>
  <si>
    <t>Budget Year 1 (tỷ)</t>
  </si>
  <si>
    <t>Vendor</t>
  </si>
  <si>
    <t>ERP lõi / Core ERP</t>
  </si>
  <si>
    <t>ERP quản lý Tài chính – Kế toán end-to-end / End-to-end Finance &amp; Accounting ERP</t>
  </si>
  <si>
    <t>BRAVO</t>
  </si>
  <si>
    <t>Hợp nhất BCTC / Financial Consolidation</t>
  </si>
  <si>
    <t>Hợp nhất báo cáo tài chính Tập đoàn (VAS/IFRS) / Group financial consolidation</t>
  </si>
  <si>
    <t>BRAVO/FPT</t>
  </si>
  <si>
    <t>Ngân hàng điện tử / e-Banking Integration</t>
  </si>
  <si>
    <t>Kết nối ngân hàng, UNC, đối soát &amp; hạch toán tự động / Bank integration &amp; reconciliation</t>
  </si>
  <si>
    <t>Bank + BRAVO</t>
  </si>
  <si>
    <t>Hóa đơn điện tử / e-Invoice</t>
  </si>
  <si>
    <t>Phát hành &amp; hạch toán hóa đơn điện tử tích hợp ERP / e-Invoice integrated with ERP</t>
  </si>
  <si>
    <t>VNPT / Viettel</t>
  </si>
  <si>
    <t>Hợp đồng điện tử &amp; Ký số / e-Contract &amp; Digital Signature</t>
  </si>
  <si>
    <t>Ký hợp đồng, hồ sơ thanh toán điện tử / Digital contract signing</t>
  </si>
  <si>
    <t>FPT / Bkav/Viettel</t>
  </si>
  <si>
    <t>Kho hồ sơ số / Data Room – DMS</t>
  </si>
  <si>
    <t>Lưu trữ &amp; chia sẻ hồ sơ dự án, hợp đồng theo phân quyền / Secure data room &amp; document management</t>
  </si>
  <si>
    <t>Microsoft</t>
  </si>
  <si>
    <t>Workflow &amp; EA thay thế / Workflow &amp; EA Replacement</t>
  </si>
  <si>
    <t>Phê duyệt chủ trương, PO, Payment Request trên ERP / Approval workflow replacing legacy EA</t>
  </si>
  <si>
    <t>Báo cáo quản trị / BI &amp; Dashboards</t>
  </si>
  <si>
    <t>Dashboard CFO/BOD, báo cáo real-time / Management dashboards &amp; BI</t>
  </si>
  <si>
    <t>Văn phòng số / Digital Workplace</t>
  </si>
  <si>
    <t>Email, Teams, chia sẻ &amp; cộng tác nội bộ / Digital workplace &amp; internal collaboration</t>
  </si>
  <si>
    <t>TC,KT: 15P*215K*12</t>
  </si>
  <si>
    <t>AI hỗ trợ nghiệp vụ / AI Support (Basic)</t>
  </si>
  <si>
    <t>AI/Copilot hỗ trợ báo cáo, cập nhật pháp lý, công việc chuyên môn / AI &amp; Copilot basic support</t>
  </si>
  <si>
    <t>Tổng cộng</t>
  </si>
  <si>
    <t>LEVEL 1 – DATA FOUNDATION (BẮT BUỘC LÀM TRƯỚC)</t>
  </si>
  <si>
    <t>Group (Nhóm)</t>
  </si>
  <si>
    <t>System (Hệ thống)</t>
  </si>
  <si>
    <t>Role (Vai trò)</t>
  </si>
  <si>
    <t>Budget MIN</t>
  </si>
  <si>
    <t>Vendor gợi ý</t>
  </si>
  <si>
    <t>Data</t>
  </si>
  <si>
    <t>Lead &amp; customer management / Quản lý lead &amp; KH</t>
  </si>
  <si>
    <t>Zoho, Odoo</t>
  </si>
  <si>
    <t>AIM</t>
  </si>
  <si>
    <t>Project &amp; product info / Hồ sơ dự án, sản phẩm</t>
  </si>
  <si>
    <t>In-house (Infra, Tools)</t>
  </si>
  <si>
    <t>Analytics</t>
  </si>
  <si>
    <t>AI Market Research</t>
  </si>
  <si>
    <t>Market trend &amp; pricing / Phân tích thị trường</t>
  </si>
  <si>
    <t>AI Agent + tool</t>
  </si>
  <si>
    <t>Platform</t>
  </si>
  <si>
    <t>Integration</t>
  </si>
  <si>
    <t>CRM–Web–Sales sync / Đồng bộ dữ liệu</t>
  </si>
  <si>
    <t>In-house</t>
  </si>
  <si>
    <t>Digital Workplace</t>
  </si>
  <si>
    <t>Email, SharePoint, Teams, AI, office &amp; BIM tools, training</t>
  </si>
  <si>
    <t>TOTAL LEVEL 1 (năm đầu)</t>
  </si>
  <si>
    <t>LEVEL 2 – REVENUE ENGINE (LÀM GỌN – TẠO DOANH THU)</t>
  </si>
  <si>
    <t>Group</t>
  </si>
  <si>
    <t>System</t>
  </si>
  <si>
    <t>Role</t>
  </si>
  <si>
    <t>Experience</t>
  </si>
  <si>
    <t>Web Sales / VR nhẹ</t>
  </si>
  <si>
    <t>Project presentation / Trình diễn dự án</t>
  </si>
  <si>
    <t>ITEL</t>
  </si>
  <si>
    <t>Sales Ops</t>
  </si>
  <si>
    <t>SMS</t>
  </si>
  <si>
    <t>Sales pipeline &amp; booking / Quản lý bán hàng</t>
  </si>
  <si>
    <t>Marketing Automation</t>
  </si>
  <si>
    <t>Email/SMS basic / Chăm sóc KH cơ bản</t>
  </si>
  <si>
    <t>0.8</t>
  </si>
  <si>
    <t>SaaS</t>
  </si>
  <si>
    <t>Integration (gộp)</t>
  </si>
  <si>
    <t>Realtime data sync / Đồng bộ realtime</t>
  </si>
  <si>
    <t>TOTAL LEVEL 2 (năm hai)</t>
  </si>
  <si>
    <t>LEVEL 3 – STRATEGIC INTELLIGENCE (CHỈ LÀM MỨC CƠ BẢN)</t>
  </si>
  <si>
    <t>Data Mart (CDP Core)</t>
  </si>
  <si>
    <t>Central sales data / Dữ liệu bán hàng</t>
  </si>
  <si>
    <t>Azure SQL</t>
  </si>
  <si>
    <t>Management</t>
  </si>
  <si>
    <t>Strategic Dashboard</t>
  </si>
  <si>
    <t>BOD dashboard / Dashboard lãnh đạo</t>
  </si>
  <si>
    <t>Power BI</t>
  </si>
  <si>
    <t>ALM (basic scenario)</t>
  </si>
  <si>
    <t>Simple IRR scenario / Kịch bản cơ bản</t>
  </si>
  <si>
    <t>Governance</t>
  </si>
  <si>
    <t>Data Security</t>
  </si>
  <si>
    <t>Access control / Phân quyền dữ liệu</t>
  </si>
  <si>
    <t>M365</t>
  </si>
  <si>
    <t>TOTAL LEVEL 3 (năm ba)</t>
  </si>
  <si>
    <t>OVERALL MINIMUM BUDGET SUMMARY (NGÂN SÁCH TỐI THIỂU)</t>
  </si>
  <si>
    <t>Level</t>
  </si>
  <si>
    <t>Budget (tỷ VNĐ)</t>
  </si>
  <si>
    <t>Level 1 – Data Foundation</t>
  </si>
  <si>
    <t>Level 2 – Revenue Engine</t>
  </si>
  <si>
    <t>Level 3 – Strategic Intelligence</t>
  </si>
  <si>
    <t>TOTAL DX SALES &amp; MARKETING (MIN)</t>
  </si>
  <si>
    <t>BẢNG BUDGET TỔNG HỢP – HR &amp; ADMIN (Song ngữ VN/EN – gộp 1 cột)</t>
  </si>
  <si>
    <t>Nhóm (Group)</t>
  </si>
  <si>
    <t>Hệ thống / Ứng dụng (System)</t>
  </si>
  <si>
    <t>Vai trò / Chức năng chính (Role)</t>
  </si>
  <si>
    <t>Hình thức (Type)</t>
  </si>
  <si>
    <t>Budget (Tỷ VND/năm)</t>
  </si>
  <si>
    <t>Vendor tham khảo</t>
  </si>
  <si>
    <t>HR</t>
  </si>
  <si>
    <t>HRM Core (Hồ sơ nhân sự, HĐLĐ, BHXH)</t>
  </si>
  <si>
    <t>Quản lý hồ sơ nhân sự, hợp đồng, quá trình công tác</t>
  </si>
  <si>
    <t>Base HRM / Odoo HR</t>
  </si>
  <si>
    <t>6,6tỷ/30đơn vị</t>
  </si>
  <si>
    <t>Payroll (Tính lương)</t>
  </si>
  <si>
    <t>Tính lương, thuế TNCN, BHXH</t>
  </si>
  <si>
    <t>Module</t>
  </si>
  <si>
    <t>Tích hợp HRM</t>
  </si>
  <si>
    <t>Time Attendance (Chấm công)</t>
  </si>
  <si>
    <t>Chấm công, ca kíp, OT</t>
  </si>
  <si>
    <t>WiseEye / FaceID</t>
  </si>
  <si>
    <t>Recruitment (Tuyển dụng)</t>
  </si>
  <si>
    <t>Quản lý tuyển dụng, CV, phỏng vấn</t>
  </si>
  <si>
    <t>Base Hiring</t>
  </si>
  <si>
    <t>Performance &amp; KPI</t>
  </si>
  <si>
    <t>Đánh giá hiệu suất, KPI</t>
  </si>
  <si>
    <t>Base Performance</t>
  </si>
  <si>
    <t>eLearning / Training</t>
  </si>
  <si>
    <t>Đào tạo nội bộ, LMS</t>
  </si>
  <si>
    <t>Moodle Cloud</t>
  </si>
  <si>
    <t>eSign / eContract</t>
  </si>
  <si>
    <t>Ký HĐLĐ điện tử</t>
  </si>
  <si>
    <t>FPT.eSign</t>
  </si>
  <si>
    <t>ADMIN</t>
  </si>
  <si>
    <t>DMS – Văn thư lưu trữ</t>
  </si>
  <si>
    <t>Quản lý công văn đi/đến, hồ sơ pháp lý, hồ sơ dự án</t>
  </si>
  <si>
    <t>SharePoint / DMS VN</t>
  </si>
  <si>
    <t>Admin</t>
  </si>
  <si>
    <t>Asset Management (Tài sản)</t>
  </si>
  <si>
    <t>Quản lý TS, xe, thiết bị VP</t>
  </si>
  <si>
    <t>Odoo Asset</t>
  </si>
  <si>
    <t>Facility / Office Management</t>
  </si>
  <si>
    <t>Quản lý phòng họp, thiết bị, booking</t>
  </si>
  <si>
    <t>Microsoft 365</t>
  </si>
  <si>
    <t>Reminder &amp; Scheduler</t>
  </si>
  <si>
    <t>Nhắc việc, nhắc lịch, sự kiện nội bộ</t>
  </si>
  <si>
    <t>Power Automate</t>
  </si>
  <si>
    <t>Event Management</t>
  </si>
  <si>
    <t>Đăng ký sự kiện, gửi thư mời, khảo sát</t>
  </si>
  <si>
    <t>MS Forms / Event App</t>
  </si>
  <si>
    <t>DÙNG CHUNG</t>
  </si>
  <si>
    <t>Email, Teams, SharePoint (15–30 users)</t>
  </si>
  <si>
    <t>Microsoft 365 Std</t>
  </si>
  <si>
    <t>Dùng chung</t>
  </si>
  <si>
    <t>Workflow &amp; Automation</t>
  </si>
  <si>
    <t>Luồng duyệt, tự động hóa</t>
  </si>
  <si>
    <t>Power Platform</t>
  </si>
  <si>
    <t>BI &amp; Reporting (Light)</t>
  </si>
  <si>
    <t>Dashboard HR &amp; Admin</t>
  </si>
  <si>
    <t>Triển khai</t>
  </si>
  <si>
    <t>PM, Training, Change</t>
  </si>
  <si>
    <t>Quản lý dự án, đào tạo người dùng</t>
  </si>
  <si>
    <t>One-off</t>
  </si>
  <si>
    <t>IT nội bộ / Vendor</t>
  </si>
  <si>
    <t>Ngân sách CNTT năm 2026 cho DMD/BITEXCO</t>
  </si>
  <si>
    <r>
      <t xml:space="preserve">Chương trình chiến lược </t>
    </r>
    <r>
      <rPr>
        <b/>
        <i/>
        <sz val="12"/>
        <color theme="1"/>
        <rFont val="Calibri"/>
        <family val="2"/>
        <scheme val="minor"/>
      </rPr>
      <t>(Strategic Program)</t>
    </r>
  </si>
  <si>
    <r>
      <t xml:space="preserve">Nội dung chính </t>
    </r>
    <r>
      <rPr>
        <b/>
        <i/>
        <sz val="12"/>
        <color theme="1"/>
        <rFont val="Calibri"/>
        <family val="2"/>
        <scheme val="minor"/>
      </rPr>
      <t>(Key Scope)</t>
    </r>
  </si>
  <si>
    <r>
      <t xml:space="preserve">Ngân sách </t>
    </r>
    <r>
      <rPr>
        <b/>
        <i/>
        <sz val="12"/>
        <color theme="1"/>
        <rFont val="Calibri"/>
        <family val="2"/>
        <scheme val="minor"/>
      </rPr>
      <t>(Budget) 
– Bilion VND</t>
    </r>
  </si>
  <si>
    <r>
      <t xml:space="preserve">Giá trị mang lại cho Cty </t>
    </r>
    <r>
      <rPr>
        <b/>
        <i/>
        <sz val="12"/>
        <color theme="1"/>
        <rFont val="Calibri"/>
        <family val="2"/>
        <scheme val="minor"/>
      </rPr>
      <t>(Group Value)</t>
    </r>
  </si>
  <si>
    <r>
      <t xml:space="preserve">Type ứng dụng </t>
    </r>
    <r>
      <rPr>
        <b/>
        <i/>
        <sz val="11"/>
        <color theme="1"/>
        <rFont val="Calibri"/>
        <family val="2"/>
        <scheme val="minor"/>
      </rPr>
      <t>(Application Type)</t>
    </r>
  </si>
  <si>
    <t>BD Unit</t>
  </si>
  <si>
    <t>Suppliers</t>
  </si>
  <si>
    <r>
      <t xml:space="preserve">1. Nền tảng làm việc số &amp; con người
</t>
    </r>
    <r>
      <rPr>
        <sz val="12"/>
        <color theme="1"/>
        <rFont val="Calibri"/>
        <family val="2"/>
        <scheme val="minor"/>
      </rPr>
      <t>(Digital Workplace &amp; People</t>
    </r>
    <r>
      <rPr>
        <b/>
        <sz val="12"/>
        <color theme="1"/>
        <rFont val="Calibri"/>
        <family val="2"/>
        <scheme val="minor"/>
      </rPr>
      <t>)</t>
    </r>
  </si>
  <si>
    <t>Làm việc thống nhất, chuyên nghiệp, giảm phụ thuộc cá nhân  (Unified, professional working environment)</t>
  </si>
  <si>
    <t>Software / License / Service</t>
  </si>
  <si>
    <t>DMD/IT</t>
  </si>
  <si>
    <t>FPT/CMC/DXD</t>
  </si>
  <si>
    <r>
      <t xml:space="preserve">2. Thiết bị &amp; năng lực thực thi 
</t>
    </r>
    <r>
      <rPr>
        <sz val="12"/>
        <color theme="1"/>
        <rFont val="Calibri"/>
        <family val="2"/>
        <scheme val="minor"/>
      </rPr>
      <t>(End-user Readiness)</t>
    </r>
  </si>
  <si>
    <t>Laptops, screens, working devices (12p*50)</t>
  </si>
  <si>
    <t>Đảm bảo năng lực thực thi dự án &amp; thiết kế
(Ensures execution capability)</t>
  </si>
  <si>
    <t>Hardware</t>
  </si>
  <si>
    <r>
      <t xml:space="preserve">3. Nền tảng lõi quản lý dự án &amp; thiết kế (PDP)
</t>
    </r>
    <r>
      <rPr>
        <sz val="12"/>
        <color theme="1"/>
        <rFont val="Calibri"/>
        <family val="2"/>
        <scheme val="minor"/>
      </rPr>
      <t>(Core Project &amp; Design Platform (PDP))</t>
    </r>
  </si>
  <si>
    <t>Quản lý &amp; bảo toàn tài sản dự án
Dự án = tài sản dữ liệu, giảm rủi ro pháp lý
(Projects become long-term data assets)</t>
  </si>
  <si>
    <t>Software / Platform License / Implementation</t>
  </si>
  <si>
    <r>
      <t xml:space="preserve">4. Chuẩn hóa quy trình &amp; dữ liệu tập đoàn
</t>
    </r>
    <r>
      <rPr>
        <sz val="12"/>
        <color theme="1"/>
        <rFont val="Calibri"/>
        <family val="2"/>
        <scheme val="minor"/>
      </rPr>
      <t>(Enterprise Process &amp; Data Foundation)</t>
    </r>
  </si>
  <si>
    <t>Standard workflows, master data</t>
  </si>
  <si>
    <t>Minh bạch, nhất quán, nền tảng quản trị
(Consistency &amp; governance foundation)</t>
  </si>
  <si>
    <t>Software / Consulting</t>
  </si>
  <si>
    <r>
      <t xml:space="preserve">5. Báo cáo điều hành &amp; ra quyết định
</t>
    </r>
    <r>
      <rPr>
        <sz val="12"/>
        <color theme="1"/>
        <rFont val="Calibri"/>
        <family val="2"/>
        <scheme val="minor"/>
      </rPr>
      <t>(Executive Reporting &amp; BI)</t>
    </r>
  </si>
  <si>
    <t>BI dashboards, management reports</t>
  </si>
  <si>
    <t>Ra quyết định dựa trên dữ liệu
(Data-driven decision making)</t>
  </si>
  <si>
    <t>Software / License</t>
  </si>
  <si>
    <t>Accounting, Finance</t>
  </si>
  <si>
    <r>
      <t xml:space="preserve">6. Tự động hóa &amp; hiệu suất
</t>
    </r>
    <r>
      <rPr>
        <sz val="12"/>
        <color theme="1"/>
        <rFont val="Calibri"/>
        <family val="2"/>
        <scheme val="minor"/>
      </rPr>
      <t>(Automation &amp; Productivity)</t>
    </r>
  </si>
  <si>
    <t>Automation platform &amp; use cases</t>
  </si>
  <si>
    <t>Giảm chi phí vận hành, tăng hiệu suất
(Lower OPEX, higher efficiency)</t>
  </si>
  <si>
    <t>Platform / Software</t>
  </si>
  <si>
    <t xml:space="preserve"> TỔNG CỘNG / TOTAL</t>
  </si>
  <si>
    <r>
      <t xml:space="preserve">Nền tảng chuyển Bitexco sang PropTech &amp; mô hình đầu tư </t>
    </r>
    <r>
      <rPr>
        <sz val="12"/>
        <color theme="1"/>
        <rFont val="Calibri"/>
        <family val="2"/>
        <scheme val="minor"/>
      </rPr>
      <t>(Foundation for PropTech &amp; investment-driven model)</t>
    </r>
  </si>
  <si>
    <t>Ngân sách CNTT năm 2026 cho PDD/BITEXCO</t>
  </si>
  <si>
    <r>
      <t xml:space="preserve">Khối chức năng </t>
    </r>
    <r>
      <rPr>
        <b/>
        <i/>
        <sz val="11"/>
        <color theme="1"/>
        <rFont val="Calibri"/>
        <family val="2"/>
        <scheme val="minor"/>
      </rPr>
      <t>(Functional Block)</t>
    </r>
  </si>
  <si>
    <r>
      <t xml:space="preserve">Ngân sách </t>
    </r>
    <r>
      <rPr>
        <b/>
        <i/>
        <sz val="11"/>
        <color theme="1"/>
        <rFont val="Calibri"/>
        <family val="2"/>
        <scheme val="minor"/>
      </rPr>
      <t>(Budget)
Đơn vị (tỷ đồng) - Billiion VND</t>
    </r>
  </si>
  <si>
    <r>
      <t xml:space="preserve">Đơn vị cung cấp </t>
    </r>
    <r>
      <rPr>
        <b/>
        <i/>
        <sz val="11"/>
        <color theme="1"/>
        <rFont val="Calibri"/>
        <family val="2"/>
        <scheme val="minor"/>
      </rPr>
      <t>(Vendors)</t>
    </r>
  </si>
  <si>
    <t>1GIS Landbank &amp; Risk Platform</t>
  </si>
  <si>
    <r>
      <t xml:space="preserve">Số hóa </t>
    </r>
    <r>
      <rPr>
        <b/>
        <sz val="12"/>
        <color theme="1"/>
        <rFont val="Calibri"/>
        <family val="2"/>
        <scheme val="minor"/>
      </rPr>
      <t>landbank trọng điểm</t>
    </r>
    <r>
      <rPr>
        <sz val="12"/>
        <color theme="1"/>
        <rFont val="Calibri"/>
        <family val="2"/>
        <scheme val="minor"/>
      </rPr>
      <t xml:space="preserve">; lớp </t>
    </r>
    <r>
      <rPr>
        <b/>
        <sz val="12"/>
        <color theme="1"/>
        <rFont val="Calibri"/>
        <family val="2"/>
        <scheme val="minor"/>
      </rPr>
      <t>quy hoạch, pháp lý, hạ tầng</t>
    </r>
    <r>
      <rPr>
        <sz val="12"/>
        <color theme="1"/>
        <rFont val="Calibri"/>
        <family val="2"/>
        <scheme val="minor"/>
      </rPr>
      <t xml:space="preserve">
(Key landbank; planning, legal &amp; infrastructure layers)</t>
    </r>
  </si>
  <si>
    <t>SaaS GIS / GIS License</t>
  </si>
  <si>
    <t>Esri (ArcGIS)
Map4D
VNPT IT</t>
  </si>
  <si>
    <t>Best Use Analysis Tool</t>
  </si>
  <si>
    <r>
      <t xml:space="preserve">Logic rule-based theo </t>
    </r>
    <r>
      <rPr>
        <b/>
        <sz val="12"/>
        <color theme="1"/>
        <rFont val="Calibri"/>
        <family val="2"/>
        <scheme val="minor"/>
      </rPr>
      <t>quy hoạch + thị trường</t>
    </r>
    <r>
      <rPr>
        <sz val="12"/>
        <color theme="1"/>
        <rFont val="Calibri"/>
        <family val="2"/>
        <scheme val="minor"/>
      </rPr>
      <t>; 
(Rule-based, no advanced optimization)</t>
    </r>
  </si>
  <si>
    <t>Custom tool / BI-based</t>
  </si>
  <si>
    <t>FPT IS/CMC LS</t>
  </si>
  <si>
    <t>Feasibility Engine (Living Financial Model)</t>
  </si>
  <si>
    <r>
      <t xml:space="preserve">Mô hình tài chính chuẩn; </t>
    </r>
    <r>
      <rPr>
        <b/>
        <sz val="12"/>
        <color theme="1"/>
        <rFont val="Calibri"/>
        <family val="2"/>
        <scheme val="minor"/>
      </rPr>
      <t>5–7 biến số nhạy cảm</t>
    </r>
    <r>
      <rPr>
        <sz val="12"/>
        <color theme="1"/>
        <rFont val="Calibri"/>
        <family val="2"/>
        <scheme val="minor"/>
      </rPr>
      <t xml:space="preserve">
(Standard model; key sensitivity scenarios)</t>
    </r>
  </si>
  <si>
    <t>Custom software / Financial model</t>
  </si>
  <si>
    <t>Deloitte Vietnam
PwC Vietnam
KPMG Vietnam</t>
  </si>
  <si>
    <t>Data Platform &amp; Integration (light)</t>
  </si>
  <si>
    <t>Power BI + Dataflow/SQL; 
(No full-scale data lake)</t>
  </si>
  <si>
    <t>SaaS BI / Light data platform</t>
  </si>
  <si>
    <t>Microsoft (Power BI, SQL)/FPT IS</t>
  </si>
  <si>
    <t>Dashboard IC/BI/BO &amp; Reporting</t>
  </si>
  <si>
    <r>
      <t xml:space="preserve">Dashboard gọn: </t>
    </r>
    <r>
      <rPr>
        <b/>
        <sz val="12"/>
        <color theme="1"/>
        <rFont val="Calibri"/>
        <family val="2"/>
        <scheme val="minor"/>
      </rPr>
      <t>bản đồ – phương án – hiệu quả</t>
    </r>
    <r>
      <rPr>
        <sz val="12"/>
        <color theme="1"/>
        <rFont val="Calibri"/>
        <family val="2"/>
        <scheme val="minor"/>
      </rPr>
      <t xml:space="preserve">
(Map – options – financial outcomes)</t>
    </r>
  </si>
  <si>
    <t>SaaS BI / License</t>
  </si>
  <si>
    <t>Microsoft (Power BI)/Tableau</t>
  </si>
  <si>
    <t>PM, Training, Change Management</t>
  </si>
  <si>
    <t>PM tinh gọn; đào tạo theo vai trò
(Lean PM &amp; role-based training)</t>
  </si>
  <si>
    <t>Service</t>
  </si>
  <si>
    <t>Đối tác triển khai + nội bộ
(Implementation partner + internal team)</t>
  </si>
  <si>
    <t>Nền tảng làm việc chung</t>
  </si>
  <si>
    <t>TỔNG CỘNG / TOTAL</t>
  </si>
  <si>
    <t>BẢNG BÁO GIÁ DỊCH VỤ TRIỂN KHAI  TENDER (ITEL)</t>
  </si>
  <si>
    <t>Kính gửi:</t>
  </si>
  <si>
    <t>Bitexco JSC</t>
  </si>
  <si>
    <t>Chúng tôi xin gửi tới Quý khách hàng bảng chào giá dịch vụ triển khai Hệ thống Đấu thầu qua mạng như sau:</t>
  </si>
  <si>
    <t>VNĐ</t>
  </si>
  <si>
    <t>STT</t>
  </si>
  <si>
    <t>Mã hiệu</t>
  </si>
  <si>
    <t>Mô tả hàng hóa/dịch vụ</t>
  </si>
  <si>
    <t>Mô tả chi tiết</t>
  </si>
  <si>
    <t>Số lượng/Man-day</t>
  </si>
  <si>
    <t>Đơn giá</t>
  </si>
  <si>
    <t>Thành tiền (chưa VAT)</t>
  </si>
  <si>
    <t>Thuế VAT (10%)</t>
  </si>
  <si>
    <t>Thành tiền (Bao gồm VAT)</t>
  </si>
  <si>
    <t>E-CORE</t>
  </si>
  <si>
    <t>Hệ thống Core eBidding</t>
  </si>
  <si>
    <t>- Bản quyền sử dụng hệ thống core
- Bao gồm các tính năng cơ bản theo yêu cầu
- Hỗ trợ đầy đủ quy trình đấu thầu qua mạng</t>
  </si>
  <si>
    <t>E-CUSTOM</t>
  </si>
  <si>
    <t>Gói tùy chỉnh nghiệp vụ</t>
  </si>
  <si>
    <t>- Phân tích yêu cầu đặc thù của Bitexco
- Tùy chỉnh giao diện và workflow
- Tích hợp với hệ thống hiện có</t>
  </si>
  <si>
    <t>E-SURVEY</t>
  </si>
  <si>
    <t>Khảo sát &amp; Thiết kế chi tiết</t>
  </si>
  <si>
    <t>- Khảo sát hiện trạng hệ thống
- Phân tích yêu cầu nghiệp vụ
- Thiết kế kiến trúc và database</t>
  </si>
  <si>
    <t>E-DEV</t>
  </si>
  <si>
    <t>Phát triển tính năng bổ sung</t>
  </si>
  <si>
    <t>- Sơ tuyển nhà thầu (Pre-qualification)
- Q&amp;A và phát hành phụ lục HSMT
- Quản lý deadline động cho từng nhà thầu
- Tracking mở HSMT và thông báo tự động</t>
  </si>
  <si>
    <t>E-TEST</t>
  </si>
  <si>
    <t>Kiểm thử UAT</t>
  </si>
  <si>
    <t>- Kiểm thử tích hợp hệ thống
- UAT với người dùng cuối
- Đánh giá bảo mật và hiệu năng</t>
  </si>
  <si>
    <t>E-TRAIN</t>
  </si>
  <si>
    <t>Đào tạo người dùng</t>
  </si>
  <si>
    <t>- Đào tạo admin quản trị hệ thống
- Đào tạo cán bộ nghiệp vụ
- Đào tạo người dùng cuối (nhà thầu)</t>
  </si>
  <si>
    <t>E-DEPLOY</t>
  </si>
  <si>
    <t>Triển khai hệ thống</t>
  </si>
  <si>
    <t>- Cài đặt và cấu hình môi trường production
- Migration dữ liệu
- Go-live và hỗ trợ onsite</t>
  </si>
  <si>
    <t>E-DOC</t>
  </si>
  <si>
    <t>Tài liệu hệ thống</t>
  </si>
  <si>
    <t>- Tài liệu kỹ thuật hệ thống
- Hướng dẫn sử dụng
- Quy trình vận hành</t>
  </si>
  <si>
    <t>E-SUPPORT</t>
  </si>
  <si>
    <t>Hỗ trợ bảo hành 12 tháng</t>
  </si>
  <si>
    <t>- Hỗ trợ vận hành 24/7
- Sửa lỗi và cập nhật
- Tư vấn nghiệp vụ</t>
  </si>
  <si>
    <t>Tổng cộng (chưa bao gồm VAT)</t>
  </si>
  <si>
    <t>BẢNG BUDGET PROPTECH – PMU (LOW SCENARIO)</t>
  </si>
  <si>
    <t>Đơn vị: TỶ VND / NĂM</t>
  </si>
  <si>
    <t>Nhóm</t>
  </si>
  <si>
    <t>Hệ thống</t>
  </si>
  <si>
    <t>Vai trò chính cho PMU</t>
  </si>
  <si>
    <t>Mô hình</t>
  </si>
  <si>
    <t>Budget (tỷ)</t>
  </si>
  <si>
    <t>Ghi chú PMU</t>
  </si>
  <si>
    <t>1. Quản lý tài sản BĐS</t>
  </si>
  <si>
    <t>CAFM / Property PMS</t>
  </si>
  <si>
    <t>Quản lý tài sản, diện tích, vòng đời</t>
  </si>
  <si>
    <t>Cốt lõi cho mô hình Asset Management</t>
  </si>
  <si>
    <t>Portfolio PMS (PPMS)</t>
  </si>
  <si>
    <t>Theo dõi hiệu suất tài sản</t>
  </si>
  <si>
    <t>Dashboard cho PMU &amp; BOD</t>
  </si>
  <si>
    <t>2. Vận hành – Bảo trì</t>
  </si>
  <si>
    <t>CMS (Maintenance)</t>
  </si>
  <si>
    <t>Quản lý bảo trì, ticket, SLA</t>
  </si>
  <si>
    <t>Thay Excel + Zalo</t>
  </si>
  <si>
    <t>Mobile Ops App</t>
  </si>
  <si>
    <t>App cho đội kỹ thuật</t>
  </si>
  <si>
    <t>License</t>
  </si>
  <si>
    <t>Giảm thời gian phản hồi</t>
  </si>
  <si>
    <t>3. Smart Building</t>
  </si>
  <si>
    <t>BMS Integration Layer</t>
  </si>
  <si>
    <t>Kết nối BMS hiện hữu</t>
  </si>
  <si>
    <t>Không thay BMS hiện hữu</t>
  </si>
  <si>
    <t>IoT Sensors (pilot)</t>
  </si>
  <si>
    <t>Điện, nước, nhiệt độ</t>
  </si>
  <si>
    <t>HW + SW</t>
  </si>
  <si>
    <t>Thí điểm khu trọng điểm</t>
  </si>
  <si>
    <t>4. Data – AI – BIM – Tender</t>
  </si>
  <si>
    <t>Data Platform (Light)</t>
  </si>
  <si>
    <t>Thu thập &amp; chuẩn hóa dữ liệu</t>
  </si>
  <si>
    <t>Phục vụ báo cáo &amp; AI</t>
  </si>
  <si>
    <t>BI Dashboard (PMU/BOD)</t>
  </si>
  <si>
    <t>Báo cáo vận hành</t>
  </si>
  <si>
    <t>Power BI / tương đương</t>
  </si>
  <si>
    <t>BIM Ops / Digital Twin (Light)</t>
  </si>
  <si>
    <t>BIM cho vận hành</t>
  </si>
  <si>
    <t>Không làm BIM thiết kế mới</t>
  </si>
  <si>
    <t>e-Tender / QL nhà thầu</t>
  </si>
  <si>
    <t>So sánh giá, lịch sử NCC</t>
  </si>
  <si>
    <t>Minh bạch chi phí</t>
  </si>
  <si>
    <t>5. Integration &amp; Automation</t>
  </si>
  <si>
    <t>API Integration</t>
  </si>
  <si>
    <t>Kết nối ERP – PMS – CMS – BMS</t>
  </si>
  <si>
    <t>Tránh silo hệ thống</t>
  </si>
  <si>
    <t>AI Automation (basic)</t>
  </si>
  <si>
    <t>Phân loại ticket, cảnh báo</t>
  </si>
  <si>
    <t>Add-on</t>
  </si>
  <si>
    <t>Chưa dùng AI phức tạp</t>
  </si>
  <si>
    <t>BUDGET - IT BHMC</t>
  </si>
  <si>
    <t>THÔNG TIN PHẦN MỀM &amp; THIẾT BỊ</t>
  </si>
  <si>
    <t>BUDGET AURA CLUB + PMG</t>
  </si>
  <si>
    <t>Phòng ban liên quan</t>
  </si>
  <si>
    <t>Loại</t>
  </si>
  <si>
    <t>Số lượng</t>
  </si>
  <si>
    <t>Đơn vị</t>
  </si>
  <si>
    <t>Chi phí dự kiến (vnd)</t>
  </si>
  <si>
    <t>Thời hạn kích hoạt chi tiền</t>
  </si>
  <si>
    <t>Thời hạn hoàn thành</t>
  </si>
  <si>
    <t>Ghi Chú</t>
  </si>
  <si>
    <t>PHẦN MỀM QUẢN LÝ CÔNG VIỆC VÀ VẬN HÀNH HỆ THỐNG KINH DOANH</t>
  </si>
  <si>
    <t>Bảo trì phần mềm Newway ( tương đương 10% giá trị hợp đồng)</t>
  </si>
  <si>
    <t>IT/EPL/SALE &amp; MARKETING</t>
  </si>
  <si>
    <t>Software</t>
  </si>
  <si>
    <t>AURA</t>
  </si>
  <si>
    <t>Bảo trì &amp; bổ sung tính năng tích hợp hệ thống ( Tích hợp kiểm soát vé bể bơi , hội viên đi bơi của SF, quản lý nhân sự …)</t>
  </si>
  <si>
    <t>Tích hợp hệ thống Newway Loyalty quản lý thông tin khách hàng</t>
  </si>
  <si>
    <t>IT/SASE &amp; MARKETING</t>
  </si>
  <si>
    <t>Hệ thống tính điểm, trừ tiền giảm giá, chương trình khyến mã, quản lý thành viên</t>
  </si>
  <si>
    <t xml:space="preserve">Tích hợp quản lý ra vào bể bơi &amp; khu vực tầng 5 với hội viên Starfitness, </t>
  </si>
  <si>
    <t>IT/Fitness Team</t>
  </si>
  <si>
    <t>Tích hợp Module quản lý bể bơi trên Newway</t>
  </si>
  <si>
    <t>App vận hành cho ban quản lý</t>
  </si>
  <si>
    <t>IT/PMG</t>
  </si>
  <si>
    <t>Theo kế hoạch của PMG</t>
  </si>
  <si>
    <t>Phần mềm quản lý nhân sự</t>
  </si>
  <si>
    <t>IT/HR Team</t>
  </si>
  <si>
    <t>PMG/AURA</t>
  </si>
  <si>
    <t>Theo kế hoạch của BHMC dự kiến có 150 user tự chia tỷ lệ PMG và AURA</t>
  </si>
  <si>
    <t>ZALO mini app</t>
  </si>
  <si>
    <t>IT/Sale &amp; Marketing</t>
  </si>
  <si>
    <t>Theo kế hoạch S&amp;M trình EA</t>
  </si>
  <si>
    <t>Phần mềm CRM</t>
  </si>
  <si>
    <t>IT/SALE &amp; MARKETING</t>
  </si>
  <si>
    <t>Theo kế hoạch của AURA</t>
  </si>
  <si>
    <t xml:space="preserve">THIẾT BỊ MÁY TÍNH - MÁY VĂN PHÒNG </t>
  </si>
  <si>
    <t>Máy tính xách tay</t>
  </si>
  <si>
    <t>IT/EPL/Admin</t>
  </si>
  <si>
    <t>HCNS-TCKT</t>
  </si>
  <si>
    <t>Định biên mới. Tự chia tỷ lệ Aura và PMG</t>
  </si>
  <si>
    <t>Máy tính để bàn</t>
  </si>
  <si>
    <t>Nâng cấp hoặc thay mới</t>
  </si>
  <si>
    <t>Máy ảnh + túi chống ẩm</t>
  </si>
  <si>
    <t>IT/Admin/S&amp;M</t>
  </si>
  <si>
    <t>Team MKT chủ động hơn trong việc chụp ảnh các hoạt động dịch vụ cần update hình ảnh daily (tiệc, đồ ăn/uống theo ngày, khách tham gia spa/fitness…)
Tiết kiệm hơn các chi phí cho phần thuê outsource bên ngoài</t>
  </si>
  <si>
    <t>MÁY CHỦ , THIẾT BỊ TƯỜNG LỬA , THIẾT BỊ LƯU TRỮ BACKUP DỮ LIỆU ( chia Pmg/Aura)</t>
  </si>
  <si>
    <t>Switch Quang 10GB 24Port +  Module Quang / đồng 10GB</t>
  </si>
  <si>
    <t>IT/EPL</t>
  </si>
  <si>
    <t>Nâng cấp hạ tầng Switch quang cho hệ thống CCTV đồng thời dự phòng cho các switch quang bị lỗi có thể ảnh hưởng đến công tác vận hành</t>
  </si>
  <si>
    <t>Switch Cisco 9200L-24T-4X  riêng cho các Server</t>
  </si>
  <si>
    <t>trang bị nhằm chia tải cho switch core đang bị quá tải do cắm nhiều thiết bị và link hệ thống switch</t>
  </si>
  <si>
    <t>Thiết bị Storage backup NAS lưu trữ dữ liệu</t>
  </si>
  <si>
    <t>AURA+PMG</t>
  </si>
  <si>
    <t>Lưu trữ backup dữ liệu hệ thống máy chủ của Trung tâm dữ liệu đặt tại Aura. Chia tỷ lệ 50/50 cho AURA và PMG</t>
  </si>
  <si>
    <t>Ổ cứng cho Server Dell R440</t>
  </si>
  <si>
    <t>Nâng cấp Server để chạy dự phòng cho các máy chủ khác chia tỷ lệ 50/50 cho AURA và PMG</t>
  </si>
  <si>
    <t>SSL/Domain</t>
  </si>
  <si>
    <t>IT/Purchase</t>
  </si>
  <si>
    <t>subscription</t>
  </si>
  <si>
    <t>auraclub.vn,auraclub.com.vn,bhmc.vn,bhmc.com.vn</t>
  </si>
  <si>
    <t>License Office 365</t>
  </si>
  <si>
    <t>Mua theo năm, sử dụng cho các máy kế toán hoặc HOD</t>
  </si>
  <si>
    <t>Symantec Endpoint Protection, Subscription License with Support, 1-99 Devices, 1Y</t>
  </si>
  <si>
    <t>Phần mềm chống virus máy chủ &amp; máy trạm Renew hàng năm chia tỷ lệ 50% cho AURA và 50% cho PMG</t>
  </si>
  <si>
    <t>License Firewall Fortinet 100F</t>
  </si>
  <si>
    <t>Chia tỷ lệ 50/50 cho AURA và PMG</t>
  </si>
  <si>
    <t>CHI PHÍ PHÁT SINH SỬA CHỮA MÁY TÍNH - BỔ SUNG WIFI - KÉO DÂY MẠNG</t>
  </si>
  <si>
    <t>bổ sung wifi cho khu vực Celia aura</t>
  </si>
  <si>
    <t>IT / Kỹ thuật</t>
  </si>
  <si>
    <t>đảm bảo sóng phủ đầy phòng tiệc rộng</t>
  </si>
  <si>
    <t>Nâng cấp ổ cứng máy tính thiết kế và Marketing</t>
  </si>
  <si>
    <t>IT/Admin/EPL</t>
  </si>
  <si>
    <t>Thùng dây mạng cat6 + hạt mạng</t>
  </si>
  <si>
    <t>Phục vụ múc đích sửa chữa, di chuyển , thay đổi</t>
  </si>
  <si>
    <t>máy lỗi nguồn,ổ cứng, bàn phím, chuột, ram, main , màn hình , sạc …...., dây cable nguồn , dây cable tín hiệu HDMI,VGA, bộ chuyển đổi tín hiệu từ HDMI to VGA ….., vật tư phụ nâng cấp ,sửa chữa thiết bị , công cụ sửa chữa mạng tool dò, dây mạng, hạt mạng,</t>
  </si>
  <si>
    <t>dịch vụ</t>
  </si>
  <si>
    <t>Chi phí sửa chữa đột xuất dự trù trong 1 năm liên quan đến việc các thiết bị hỏng đột xuất. ( chia tỷ lệ 50% cho AURA và 50% cho PMG</t>
  </si>
  <si>
    <t>Total - Tổng giá trị</t>
  </si>
  <si>
    <t>1,6TỶ</t>
  </si>
  <si>
    <t>PMS</t>
  </si>
  <si>
    <t>Đơn vị: Bitexco Work Place</t>
  </si>
  <si>
    <t>Phòng: Phòng CNTT</t>
  </si>
  <si>
    <t>Ngân sách CNTT năm 2026 cho Bitexco WorkPlace</t>
  </si>
  <si>
    <t>No.</t>
  </si>
  <si>
    <t>Máy móc/Thiết bị đề nghị</t>
  </si>
  <si>
    <t>Ngân sách năm</t>
  </si>
  <si>
    <t>ĐVT</t>
  </si>
  <si>
    <t>Đơn giá (VNĐ)</t>
  </si>
  <si>
    <t>Thành tiền 
(VNĐ)</t>
  </si>
  <si>
    <t>VAT 
(10%)</t>
  </si>
  <si>
    <t>Thành tiền - Include VAT (VNĐ)</t>
  </si>
  <si>
    <t>Thời gian thực hiện</t>
  </si>
  <si>
    <t>Ghi chú</t>
  </si>
  <si>
    <t>Device License</t>
  </si>
  <si>
    <t>FortiGate 201E Firewall License</t>
  </si>
  <si>
    <t>General</t>
  </si>
  <si>
    <t>license</t>
  </si>
  <si>
    <t>01/2026</t>
  </si>
  <si>
    <t>Chi phí gia hạn License cho 1 năm, hết hạn ngày 01/2026</t>
  </si>
  <si>
    <t>SSD Server</t>
  </si>
  <si>
    <t xml:space="preserve">HPE 960GB SATA 6G Read Intensive SFF (2.5in) </t>
  </si>
  <si>
    <t>Office</t>
  </si>
  <si>
    <t>Cái</t>
  </si>
  <si>
    <t>02/2026</t>
  </si>
  <si>
    <t>SAN</t>
  </si>
  <si>
    <t>Hệ thống lưu trữ tập trung SAN HPE</t>
  </si>
  <si>
    <t>HT</t>
  </si>
  <si>
    <t>Core Switch</t>
  </si>
  <si>
    <t>HPE Aruba Networking CX 6300M 24-port 1GbE and 4-port SFP56 Core Switch</t>
  </si>
  <si>
    <t>Softwares License</t>
  </si>
  <si>
    <t>Symantec Endpoint Protection License</t>
  </si>
  <si>
    <t>06/2026</t>
  </si>
  <si>
    <t>Chi phí gia hạn License cho 1 năm, hết hạn vào 06//2026</t>
  </si>
  <si>
    <t>Phần mềm Zoom Pro License</t>
  </si>
  <si>
    <t>11/2026</t>
  </si>
  <si>
    <t>Chi phí gia hạn License cho 1 năm, hết hạn vào 11//2026</t>
  </si>
  <si>
    <t>Windows 11 Pro License</t>
  </si>
  <si>
    <t>- Nâng cấp cho máy tính CBNV</t>
  </si>
  <si>
    <t>Microsoft 365 personal (QQ2-00003) License</t>
  </si>
  <si>
    <t>ChatGPT Business cho cấp quản lý (gói 12 tháng).</t>
  </si>
  <si>
    <t>- Mua cho các vị trí cấp quản lý của các Phòng ban sử dụng khi chưa có Hệ thống AI tổng thể được đầu tư.</t>
  </si>
  <si>
    <t>Phần mềm AutoCAD - including specialized toolsets AD Commercial New Single-user ELD Annual Subscription- Thời gian sử dụng 1 năm- Hỗ trợ kỹ thuật, cập nhật 1 năm đầu miễn phí</t>
  </si>
  <si>
    <t>04/2026</t>
  </si>
  <si>
    <t>- Dự kiến mua Mua cho phòng DMD, Design và Kỹ thuật
- Các hảng này đã có 1 hãng gửi công văn y/c bản quyền đến Tập đoàn. Trong năm 2026 sẽ còn rà soát mạnh hơn nên cần có chi phí dự trù đầu tư.</t>
  </si>
  <si>
    <t>Phần mềm 3ds Max 2026 Commercial New Single-user ELD Annual Subscription- Thời gian sử dụng 1 năm- Hỗ trợ kỹ thuật, cập nhật 1 năm đầu miễn phí</t>
  </si>
  <si>
    <t>Phần mềm V-Ray Solo (named, annual)</t>
  </si>
  <si>
    <t>Phần mềm Photoshop for teams ALL Multiple Platforms Multi Asian Languages Subscription New 12 Months</t>
  </si>
  <si>
    <t>Phần mềm Illustrator for teams ALL Multiple Platforms Multi Asian Languages Subscription New 12 Months</t>
  </si>
  <si>
    <t>SAP system</t>
  </si>
  <si>
    <t>Chi phí bảo trì và quản lý cho Hệ thống SAP với Tập đoàn (HO)</t>
  </si>
  <si>
    <t>Gói</t>
  </si>
  <si>
    <t>12/2026</t>
  </si>
  <si>
    <t>- Hợp đồng dịch vụ giữa BWP và HO hết hạn vào 31/12/2025 
- Phí bảo trì: 6,200,000 * 12 user = 74,400,000 VNĐ/năm
- Phí quản lý 39,000,000 VNĐ /năm</t>
  </si>
  <si>
    <t xml:space="preserve">BFT Parking maintenance </t>
  </si>
  <si>
    <t>Hệ thống BFT Parking mới (VETC)</t>
  </si>
  <si>
    <t>Parking</t>
  </si>
  <si>
    <t>Tháng</t>
  </si>
  <si>
    <t>Hàng tháng</t>
  </si>
  <si>
    <r>
      <rPr>
        <b/>
        <sz val="12"/>
        <color theme="1"/>
        <rFont val="Times New Roman"/>
        <family val="1"/>
      </rPr>
      <t>12,410,000 VNĐ</t>
    </r>
    <r>
      <rPr>
        <sz val="12"/>
        <color theme="1"/>
        <rFont val="Times New Roman"/>
        <family val="1"/>
      </rPr>
      <t xml:space="preserve"> - Chi phí chia sẽ doanh thu 3.65% xe vãng lai theo tháng.</t>
    </r>
  </si>
  <si>
    <r>
      <rPr>
        <b/>
        <sz val="12"/>
        <color theme="1"/>
        <rFont val="Times New Roman"/>
        <family val="1"/>
      </rPr>
      <t>5,454,545 VNĐ</t>
    </r>
    <r>
      <rPr>
        <sz val="12"/>
        <color theme="1"/>
        <rFont val="Times New Roman"/>
        <family val="1"/>
      </rPr>
      <t xml:space="preserve"> - Chi phí quản lý (phần mềm) theo tháng.</t>
    </r>
  </si>
  <si>
    <t>POS Skydeck maintenance</t>
  </si>
  <si>
    <t>Hệ thống POS Skydeck mới (CMC)</t>
  </si>
  <si>
    <t>06 tháng</t>
  </si>
  <si>
    <t>Hợp đồng bảo trì ngay sau khi hết hạn bảo hành 12 tháng</t>
  </si>
  <si>
    <t>Internet Line</t>
  </si>
  <si>
    <t>Đường truyền Internet + IP tĩnh (Viettel)</t>
  </si>
  <si>
    <t>Năm</t>
  </si>
  <si>
    <t>Chi phí gia hạn HĐ năm 2026. Hợp đồng hết hạn ngày 01/04/2026</t>
  </si>
  <si>
    <t>IP Public (Viettel)</t>
  </si>
  <si>
    <t>Phí gia hạn hợp đồng 1 năm cho năm 2026. HĐ hết hạn vào 02/2026</t>
  </si>
  <si>
    <t>Đường truyền Internet FPT Super250 (SKYDECK)</t>
  </si>
  <si>
    <t>07/2026</t>
  </si>
  <si>
    <t>Chi phí gia hạn HĐ năm 2025. Hợp đồng hết hạn ngày 06/07/2026.</t>
  </si>
  <si>
    <t>IP Public (FPT)</t>
  </si>
  <si>
    <t>Chi phí gia hạn HĐ năm 2025. Hợp đồng hết hạn ngày 11/2026.</t>
  </si>
  <si>
    <t>MPLS Line</t>
  </si>
  <si>
    <t>Kênh truyền MPLS (FPT) - 4Mbps</t>
  </si>
  <si>
    <t>08/2026</t>
  </si>
  <si>
    <t>Chi phí gia hạn năm 2026. HĐ hết hạn vào 31/08/2026</t>
  </si>
  <si>
    <t>Màn hình cảm ứng</t>
  </si>
  <si>
    <t>Màn hình Touch Screen 55 inch (3D/360 - Skydeck)</t>
  </si>
  <si>
    <t xml:space="preserve">- Thay thế 1 màn hình đang xuống cấp không còn đáp ứng trong vận hành. </t>
  </si>
  <si>
    <t>Thiết bị văn phòng</t>
  </si>
  <si>
    <t>HP Pro tower 280</t>
  </si>
  <si>
    <t>Màn hình Dell E2225HM (21.5 inch - VA - FHD - 100Hz-5ms)</t>
  </si>
  <si>
    <t>Laptop Dell Latitude 3450</t>
  </si>
  <si>
    <t>HP Color LaserJet CP5225dn (CE742A)</t>
  </si>
  <si>
    <t>- Mua mới cho khối văn phòng</t>
  </si>
  <si>
    <t>Máy in mã vạch HPRT HT300</t>
  </si>
  <si>
    <t>- Thay thế máy Kế toán kho</t>
  </si>
  <si>
    <t>SSD 256GB LEXAR NS100</t>
  </si>
  <si>
    <t>- Sử dụng trình chiếu cho các sự kiện của Công ty</t>
  </si>
  <si>
    <t>Máy chiếu BenQ</t>
  </si>
  <si>
    <t xml:space="preserve">Màn chiếu điện 180 inch </t>
  </si>
  <si>
    <t>Amply, Loa + Bộ Micro không dây</t>
  </si>
  <si>
    <t>Bộ</t>
  </si>
  <si>
    <t>- Sử dụng cho sự kiện tại Công ty và Team Building</t>
  </si>
  <si>
    <t>Laptop cho Mr. Thế - HR</t>
  </si>
  <si>
    <t>- Laptop hiện tại đang yếu và thường xuyên lỗi. Cần thay thế máy cấu hình cao để thực hiện dự án AI cho HR.</t>
  </si>
  <si>
    <t>PMG (new)</t>
  </si>
  <si>
    <t>- Cấp cho PMG mới</t>
  </si>
  <si>
    <t>New Office (7F)</t>
  </si>
  <si>
    <t>Màn hình tương tác SAMSUNG 86 inch</t>
  </si>
  <si>
    <t>- Sử dụng cho Văn phòng mới 7F</t>
  </si>
  <si>
    <t>Hệ thống âm thanh cho Phòng họp (Loa âm trần, Amply, Mic…)</t>
  </si>
  <si>
    <t>Camera họp Online</t>
  </si>
  <si>
    <t>Access Point</t>
  </si>
  <si>
    <t>Máy in laser đen trắng HP LaserJet Pro 4003dw</t>
  </si>
  <si>
    <t>Check-in system</t>
  </si>
  <si>
    <t>Triển khai mới Hệ thống kiểm soát ra vào khu vực cho thuê Văn phòng của Tòa nhà BFT (Server, Softwares, Hardwares...).</t>
  </si>
  <si>
    <t>- 01/2026 (20%)
- 02/2026 (50%)
- 03/2026 (30%)</t>
  </si>
  <si>
    <t xml:space="preserve">- IT đang làm với các đơn vị để có giải pháp tối ưu 
</t>
  </si>
  <si>
    <t xml:space="preserve">Màn hình tương tác hướng dẫn, hỗ trợ cho khách (ứng dụng AI) </t>
  </si>
  <si>
    <t>- Hỗ trợ cho khách tìm kiếm các thông tin và dịch vụ của Tòa nhà.
- Hỗ trợ tìm kiếm các dịch vụ tiện ích xung quanh Tòa nhà nhằm tạo sự thích thú và trải nghiệm cao.</t>
  </si>
  <si>
    <t xml:space="preserve">- 04/2026 (20%)
- 05/2026 (50%)
- 06/2026 (30%)
</t>
  </si>
  <si>
    <t xml:space="preserve">- IT đang làm với các đơn vị để có giải pháp tối ưu </t>
  </si>
  <si>
    <t>Hệ thống Quản lý Nhân sự (HRM)</t>
  </si>
  <si>
    <t>Hệ thống quản lý Nhân sự cho Tập đoàn (30 Công ty thành viên)</t>
  </si>
  <si>
    <r>
      <t>- Triển khai chung với tất cả các nhóm ngành của Tập đoàn. Phòng CNTT đã làm việc với các NCC và đã có bảng tổng hợp ngân sách.</t>
    </r>
    <r>
      <rPr>
        <sz val="12"/>
        <color rgb="FFFF0000"/>
        <rFont val="Times New Roman"/>
        <family val="1"/>
      </rPr>
      <t xml:space="preserve"> 
- </t>
    </r>
    <r>
      <rPr>
        <b/>
        <sz val="12"/>
        <color rgb="FFFF0000"/>
        <rFont val="Times New Roman"/>
        <family val="1"/>
      </rPr>
      <t>Riêng ngân sách BFT được phân bổ là ~290,000,000VNĐ</t>
    </r>
  </si>
  <si>
    <t xml:space="preserve">Phần cứng: Server vật lý
</t>
  </si>
  <si>
    <t>Hệ thống Camera AI giám sát Tòa nhà BFT</t>
  </si>
  <si>
    <t xml:space="preserve">Hệ thống Camera AI giám sát an ninh Tòa nhà. Giám sát khách hàng và cảnh báo cháy, cảnh báo rò rỉ nước, điện </t>
  </si>
  <si>
    <t>- Thay thế cho Hệ thống Camera Analog cũ tại Tòa nhà.
 - IT và Kỹ thuật sẽ làm việc trực tiếp với iTEL và các nhà thầu đưa ra giải pháp và chi phí thực tế.</t>
  </si>
  <si>
    <t>Hệ thống Tổng đài tập trung</t>
  </si>
  <si>
    <t xml:space="preserve">Hệ thống Tổng đài IP tập trung cho tập đoàn (tất cả Công ty thành viên trong Tập đoàn) </t>
  </si>
  <si>
    <t>03/2026</t>
  </si>
  <si>
    <t xml:space="preserve">- Triển khai thay thế Hệ thống Tổng đài Analog của Tòa nhà.
- Mở rộng triển khai cho tất cả Công ty trong Tập đoàn  </t>
  </si>
  <si>
    <t xml:space="preserve">Hệ thống kế toán mới </t>
  </si>
  <si>
    <t>Hệ thống Kế toán Bravo</t>
  </si>
  <si>
    <t>- Tập đoàn đang làm việc với Bravo để thay thế cho Hệ thống SAP trong năm 2026. Ngân sách chung sẽ phân bổ cho từng đơn vị.</t>
  </si>
  <si>
    <t>Hệ thống quản lý vận hành Tòa nhà PMS</t>
  </si>
  <si>
    <t>Phần mềm: Hệ thống quản lý Tòa nhà PMS: Bất động sản, Thủy điện, Trường học…không giới hạn số lượng Dự án (cho cả Tập đoàn)</t>
  </si>
  <si>
    <t>05/2026</t>
  </si>
  <si>
    <t>-  Tập trung data tại hội sở. Triển khai từng Dự án theo chi phí manday hoặc đào tạo key person cho IT/vận hành tự cấu hình động theo module/vai trò… giống quản lý ERP tập trung.</t>
  </si>
  <si>
    <t>Hệ thống phát kinh tư động cho các Đạo tràng</t>
  </si>
  <si>
    <t xml:space="preserve">Hệ thống tụng/phát kinh tập trung đồng bộ cho tất cả các Đạo tràng tại các Dự án. </t>
  </si>
  <si>
    <t>- Thay thế cho việc phát kinh đơn lẻ bằng máy phát nhạc không đồng bộ tại các Đạo tràng như hiện nay.</t>
  </si>
  <si>
    <t>Hệ thống Quản lý PMG từ xa cho CĐT</t>
  </si>
  <si>
    <t>Hệ thống quản lý vận hành PMG (Savills) từ xa cho Chủ đầu tư. Tích hợp các giải pháp DMS quản lý tập trung Dữ liệu cho các Hệ thống.</t>
  </si>
  <si>
    <t>- Đang làm việc với FPT, Votiva đưa ra giải pháp và ngân sách</t>
  </si>
  <si>
    <t>Hệ thống Hợp đồng/văn bản điện tử</t>
  </si>
  <si>
    <t>Triển khai Hệ thống Hợp đồng/văn bản điện tử cho Tập đoàn.</t>
  </si>
  <si>
    <t>- Đã triển khai xong cho các Công ty: BWP, Garden, Bitexcoland
- Tiếp tục triển khai cho tất cả các Công ty trong Tập đoàn.
- Xây dụng giải pháp lưu trữ Dữ liệu tập trung onsite cho toàn hệ thống.</t>
  </si>
  <si>
    <t>Tổng cộng (VNĐ):</t>
  </si>
  <si>
    <t xml:space="preserve">Người lập ngân sách </t>
  </si>
  <si>
    <t>Lâm Thanh Hoàng</t>
  </si>
  <si>
    <t>CHI TIẾT CÁC HẠNG MỤC TRONG NGÂN SÁCH IT 2026</t>
  </si>
  <si>
    <t>Diễn giải</t>
  </si>
  <si>
    <t xml:space="preserve">số lượng dự kiến </t>
  </si>
  <si>
    <t>Thành Tiền</t>
  </si>
  <si>
    <t>NOTE 2026</t>
  </si>
  <si>
    <t>Dự kiến hoàn thành</t>
  </si>
  <si>
    <t>Số Năm Phân Bổ</t>
  </si>
  <si>
    <t>CP PB/năm</t>
  </si>
  <si>
    <t>CP PB/tháng</t>
  </si>
  <si>
    <t>THÁNG 1</t>
  </si>
  <si>
    <t>THÁNG 2</t>
  </si>
  <si>
    <t>THÁNG 3</t>
  </si>
  <si>
    <t>THÁNG 4</t>
  </si>
  <si>
    <t>THÁNG 5</t>
  </si>
  <si>
    <t>THÁNG 6</t>
  </si>
  <si>
    <t>THÁNG 7</t>
  </si>
  <si>
    <t>THÁNG 8</t>
  </si>
  <si>
    <t>THÁNG 9</t>
  </si>
  <si>
    <t>THÁNG 10</t>
  </si>
  <si>
    <t>THÁNG 11</t>
  </si>
  <si>
    <t>THÁNG 12</t>
  </si>
  <si>
    <t>TOTAL/năm</t>
  </si>
  <si>
    <t>A. TTTM The Garden</t>
  </si>
  <si>
    <t>Máy chấm công Garden + Adapter máy</t>
  </si>
  <si>
    <t xml:space="preserve">Dự phòng </t>
  </si>
  <si>
    <t>Tháng 11</t>
  </si>
  <si>
    <t>Mua máy tính mới cho CBNV: Ms Thu thiết kế, Thu Admin, 3 nhân sự mới dự phòng, 7 màn hình PKT + 3 CRM</t>
  </si>
  <si>
    <t>Kho Senix còn máy tính, ko có màn hình</t>
  </si>
  <si>
    <t>Máy tính Mrs Thu Thiết kế</t>
  </si>
  <si>
    <t>Xuất từ kho Senix</t>
  </si>
  <si>
    <t>Tháng 1</t>
  </si>
  <si>
    <t>Thay 01 PC cho Mrs Thu Admin</t>
  </si>
  <si>
    <t>Tháng 2</t>
  </si>
  <si>
    <t>Máy xách tay mới nhân sự mới ( 03 người )</t>
  </si>
  <si>
    <t>Tháng 12</t>
  </si>
  <si>
    <t>Mua 10 màn hình máy tính 23inch phòng kế toán + CRM</t>
  </si>
  <si>
    <t>7 kế toán + 03 CRM</t>
  </si>
  <si>
    <t>Nâng cấp RAM + SSD cho người dùng văn phòng, 10 UPS cho PKT</t>
  </si>
  <si>
    <t xml:space="preserve">Giai đoạn 1 năm 2025 đã update RAM cho 10 người; UPS của phòng KT đã hỏng, cần đc thay để tránh mất dữ liệu khi sự cố </t>
  </si>
  <si>
    <t>Tháng 3</t>
  </si>
  <si>
    <t>Thay thế UPS cho các máy kế toán</t>
  </si>
  <si>
    <t>Các UPS cũ đã hỏng hết lên các PC của kế toán cần dc trang bị tránh mất nguồn đột ngột hỏng dữ liệu và files</t>
  </si>
  <si>
    <t>Tháng 5</t>
  </si>
  <si>
    <t>Dự phòng máy in (Văn Phòng + Kiểm Phẩm)</t>
  </si>
  <si>
    <t>Sửa chữa, thay thế: dây mạng, cáp, chuột, pin, bàn phím…</t>
  </si>
  <si>
    <t>Thay thế khi thực tế phát sinh</t>
  </si>
  <si>
    <t>Dự phòng WIFi Garden + cung cấp WIFI cho hệ thống thu ngân bên ngoài TTTM</t>
  </si>
  <si>
    <t>Lắp đặt bổ sung cho thu ngân phục vụ khách hàng chuyển khoản QR. Bộ phát sóng chuyển từ Senix</t>
  </si>
  <si>
    <t>Cước internet (FTTH CMC, FPT, WAN)</t>
  </si>
  <si>
    <t>Gia hạn hàng năm (WAN từ T6; Internet từ T5, CMC đến 4/3/27)</t>
  </si>
  <si>
    <t>Cước WAN đ.th tổng đài T7/25-T5/26</t>
  </si>
  <si>
    <t>Gia hạn hàng năm</t>
  </si>
  <si>
    <t>Tháng 6</t>
  </si>
  <si>
    <t>CMC/Cước FTTH (05/10/25- 04/03/27)</t>
  </si>
  <si>
    <t>Đã gia hạn từ 2025</t>
  </si>
  <si>
    <t>FPT/Cước thuê kênh internet 20/4/25-19/5/26</t>
  </si>
  <si>
    <t>CP phần mềm diệt Virus (License Symantec)</t>
  </si>
  <si>
    <t>Mua 01 bộ Zoom meetup + pc mini + mic đa hướng (Phục vụ họp trực tuyến); gia hạn zoom/tên miền</t>
  </si>
  <si>
    <t>Mua 01 bộ Zoom meetup + pc mini + mic đa hướng (Phục vụ họp trực tuyến)</t>
  </si>
  <si>
    <t>Mua mới</t>
  </si>
  <si>
    <t>CP gia hạn Zoom</t>
  </si>
  <si>
    <t xml:space="preserve">CP gia hạn tên miền </t>
  </si>
  <si>
    <t>Đã gia hạn 5 năm từ 2024</t>
  </si>
  <si>
    <t>HỆ THỐNG MÁY CHỦ</t>
  </si>
  <si>
    <t>Thiết bị tường lửa firewall fortinet (để chia tải cho server đang quá tải)</t>
  </si>
  <si>
    <t>Hiện tại đang có 02 Firewall 100D và 100E dùng cho toàn hệ thống.
Thiết bị đã đưa vào sử dụng được trên 7 năm vì thế năm nay thay thế 01 cái</t>
  </si>
  <si>
    <t xml:space="preserve"> License cho fire wall 100E</t>
  </si>
  <si>
    <t>Bản quyền hết hạn cần dc gia hạn</t>
  </si>
  <si>
    <t xml:space="preserve">Nâng cấp RAM + SAS cho máy chủ có dự phòng </t>
  </si>
  <si>
    <t>Bổ xung tài nguyên hàng năm cho Server</t>
  </si>
  <si>
    <t>Switch 2960 24 port của hệ thống Garden (Dự phòng lỗi hỏng xảy ra, nếu lỗi hỏng sẽ nâng cấp SW )</t>
  </si>
  <si>
    <t>Nâng cấp Card mạng Quang + Modul quang 4 máy chủ, card khởi động thay thế máy chủ 3650 M4</t>
  </si>
  <si>
    <t>4+1</t>
  </si>
  <si>
    <t>5000000 + 21300000</t>
  </si>
  <si>
    <t>Tăng tốc độ truyền dữ liệu data</t>
  </si>
  <si>
    <t>Tháng 1+7</t>
  </si>
  <si>
    <t>Nâng cấp Card HBA + Modul  kết nối với Store IBM</t>
  </si>
  <si>
    <t>Kết nối với hệ thống IBM Flast System được trang bị năm 2025</t>
  </si>
  <si>
    <t>Tháng 4</t>
  </si>
  <si>
    <t>Switch 28 port của hệ thống Garden quang</t>
  </si>
  <si>
    <t>Dự phòng thay thế 04 Sata 4TB NAS Backup</t>
  </si>
  <si>
    <t>Các phần mềm - đầu tư mới 2026</t>
  </si>
  <si>
    <t>Gói thay mới hệ thống phần mềm POS</t>
  </si>
  <si>
    <t>Thuê nhà thầu Audit chech an toàn an ninh mạng cho toàn Garden</t>
  </si>
  <si>
    <t>tháng 3</t>
  </si>
  <si>
    <t>BUDGET 2026 - IT and Digital Marketing</t>
  </si>
  <si>
    <t>BUDGET 2026 - IT DEP and Digital Department</t>
  </si>
  <si>
    <t>Wìfi Marketing: AWING ( 20 AP )</t>
  </si>
  <si>
    <t xml:space="preserve">Email Marketing: Flodesk </t>
  </si>
  <si>
    <t>AI Tool: ChatGPT, Gemini, N8N, KlingAI, Google VEO 3, hailuoai</t>
  </si>
  <si>
    <t xml:space="preserve">Nâng cấp websites The Garden </t>
  </si>
  <si>
    <t>Star Fitness</t>
  </si>
  <si>
    <t xml:space="preserve">Tháng </t>
  </si>
  <si>
    <t>03 Bộ PC + Màn hình cho Lễ tân SF</t>
  </si>
  <si>
    <t>Điện thoại cho khu Locker Nam + Nữ</t>
  </si>
  <si>
    <t>Xây dựng Web mới cho SF</t>
  </si>
  <si>
    <t>CP mua mới SSL cho Web 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</si>
</sst>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_(* #,##0_);_(* \(#,##0\);_(* &quot;-&quot;??_);_(@_)"/>
    <numFmt numFmtId="165" formatCode="0.000"/>
    <numFmt numFmtId="166" formatCode="_(* #,##0.00_);_(* \(#,##0.00\);_(* &quot;-&quot;_);_(@_)"/>
    <numFmt numFmtId="167" formatCode="##.##%"/>
    <numFmt numFmtId="168" formatCode="[$-409]mmm\-yy;@"/>
    <numFmt numFmtId="169" formatCode="[$-1010000]d/m/yyyy;@"/>
    <numFmt numFmtId="170" formatCode="_-* #,##0.00_-;\-* #,##0.00_-;_-* &quot;-&quot;??_-;_-@_-"/>
    <numFmt numFmtId="171" formatCode="_-* #,##0_-;\-* #,##0_-;_-* &quot;-&quot;??_-;_-@_-"/>
    <numFmt numFmtId="172" formatCode="d/m;@"/>
    <numFmt numFmtId="173" formatCode="dd\ mmm\ yyyy"/>
  </numFmts>
  <fonts count="79">
    <font>
      <sz val="11"/>
      <color theme="1"/>
      <name val="Calibri"/>
      <scheme val="minor"/>
    </font>
    <font>
      <sz val="12"/>
      <color theme="1"/>
      <name val="Calibri"/>
      <family val="2"/>
      <scheme val="minor"/>
    </font>
    <font>
      <sz val="12"/>
      <color theme="1"/>
      <name val="Calibri"/>
      <family val="2"/>
      <scheme val="minor"/>
    </font>
    <font>
      <b/>
      <sz val="11"/>
      <color theme="1"/>
      <name val="Times New Roman"/>
      <family val="1"/>
    </font>
    <font>
      <sz val="11"/>
      <color theme="1"/>
      <name val="Calibri"/>
      <family val="2"/>
    </font>
    <font>
      <sz val="11"/>
      <color theme="1"/>
      <name val="Times New Roman"/>
      <family val="1"/>
    </font>
    <font>
      <i/>
      <sz val="11"/>
      <color theme="1"/>
      <name val="Times New Roman"/>
      <family val="1"/>
    </font>
    <font>
      <b/>
      <sz val="11"/>
      <color theme="1"/>
      <name val="Calibri"/>
      <family val="2"/>
    </font>
    <font>
      <sz val="12"/>
      <color theme="1"/>
      <name val="Times New Roman"/>
      <family val="1"/>
    </font>
    <font>
      <b/>
      <sz val="12"/>
      <color theme="1"/>
      <name val="Times New Roman"/>
      <family val="1"/>
    </font>
    <font>
      <sz val="11"/>
      <color rgb="FF000000"/>
      <name val="&quot;Times New Roman&quot;"/>
    </font>
    <font>
      <sz val="12"/>
      <color rgb="FF000000"/>
      <name val="&quot;Times New Roman&quot;"/>
    </font>
    <font>
      <b/>
      <sz val="12"/>
      <color rgb="FF000000"/>
      <name val="Times New Roman"/>
      <family val="1"/>
    </font>
    <font>
      <sz val="12"/>
      <color rgb="FF000000"/>
      <name val="Times New Roman"/>
      <family val="1"/>
    </font>
    <font>
      <sz val="11"/>
      <color rgb="FF000000"/>
      <name val="Times New Roman"/>
      <family val="1"/>
    </font>
    <font>
      <sz val="11"/>
      <name val="Calibri"/>
      <family val="2"/>
    </font>
    <font>
      <b/>
      <sz val="11"/>
      <color rgb="FF000000"/>
      <name val="Times New Roman"/>
      <family val="1"/>
    </font>
    <font>
      <i/>
      <sz val="12"/>
      <color theme="1"/>
      <name val="Times New Roman"/>
      <family val="1"/>
    </font>
    <font>
      <sz val="11"/>
      <color theme="1"/>
      <name val="Calibri"/>
      <family val="2"/>
      <scheme val="minor"/>
    </font>
    <font>
      <b/>
      <sz val="12"/>
      <color theme="1"/>
      <name val="Calibri"/>
      <family val="2"/>
      <scheme val="minor"/>
    </font>
    <font>
      <b/>
      <sz val="11"/>
      <color theme="1"/>
      <name val="Calibri"/>
      <family val="2"/>
      <scheme val="minor"/>
    </font>
    <font>
      <b/>
      <i/>
      <sz val="11"/>
      <color theme="1"/>
      <name val="Calibri"/>
      <family val="2"/>
      <scheme val="minor"/>
    </font>
    <font>
      <sz val="12"/>
      <name val="Times New Roman"/>
      <family val="1"/>
    </font>
    <font>
      <b/>
      <sz val="14"/>
      <color theme="1"/>
      <name val="Times New Roman"/>
      <family val="1"/>
    </font>
    <font>
      <sz val="11"/>
      <color theme="1"/>
      <name val="Times New Roman"/>
      <family val="2"/>
    </font>
    <font>
      <sz val="12"/>
      <color theme="1"/>
      <name val="Times New Roman"/>
      <family val="2"/>
    </font>
    <font>
      <sz val="12"/>
      <color rgb="FFFF0000"/>
      <name val="Times New Roman"/>
      <family val="1"/>
    </font>
    <font>
      <b/>
      <sz val="12"/>
      <color rgb="FFFF0000"/>
      <name val="Times New Roman"/>
      <family val="1"/>
    </font>
    <font>
      <b/>
      <sz val="18"/>
      <color theme="1"/>
      <name val="Calibri"/>
      <family val="2"/>
      <scheme val="minor"/>
    </font>
    <font>
      <b/>
      <i/>
      <sz val="12"/>
      <color theme="1"/>
      <name val="Calibri"/>
      <family val="2"/>
      <scheme val="minor"/>
    </font>
    <font>
      <i/>
      <sz val="12"/>
      <color theme="1"/>
      <name val="Calibri"/>
      <family val="2"/>
      <scheme val="minor"/>
    </font>
    <font>
      <b/>
      <sz val="14"/>
      <color rgb="FF0000FF"/>
      <name val="Calibri"/>
      <family val="2"/>
    </font>
    <font>
      <b/>
      <sz val="11"/>
      <name val="Calibri"/>
      <family val="2"/>
    </font>
    <font>
      <i/>
      <sz val="11"/>
      <name val="Calibri"/>
      <family val="2"/>
    </font>
    <font>
      <b/>
      <sz val="11"/>
      <color rgb="FFFFFFFF"/>
      <name val="Calibri"/>
      <family val="2"/>
    </font>
    <font>
      <b/>
      <sz val="11"/>
      <color rgb="FFFF0000"/>
      <name val="Calibri"/>
      <family val="2"/>
    </font>
    <font>
      <sz val="10"/>
      <name val="Times New Roman"/>
      <family val="1"/>
    </font>
    <font>
      <sz val="10"/>
      <color theme="1"/>
      <name val="VnBravo Times"/>
      <family val="2"/>
    </font>
    <font>
      <b/>
      <u val="singleAccounting"/>
      <sz val="14"/>
      <color rgb="FFFF0000"/>
      <name val="Times New Roman"/>
      <family val="1"/>
    </font>
    <font>
      <b/>
      <sz val="10"/>
      <name val="Times New Roman"/>
      <family val="1"/>
    </font>
    <font>
      <b/>
      <sz val="11"/>
      <name val="Times New Roman"/>
      <family val="1"/>
    </font>
    <font>
      <sz val="10"/>
      <name val="Arial"/>
      <family val="2"/>
    </font>
    <font>
      <b/>
      <sz val="11"/>
      <color rgb="FFFF0000"/>
      <name val="Times New Roman"/>
      <family val="1"/>
    </font>
    <font>
      <sz val="11"/>
      <name val="Times New Roman"/>
      <family val="1"/>
    </font>
    <font>
      <sz val="11"/>
      <color rgb="FFFF0000"/>
      <name val="Times New Roman"/>
      <family val="1"/>
    </font>
    <font>
      <b/>
      <u val="singleAccounting"/>
      <sz val="11"/>
      <color rgb="FFFF0000"/>
      <name val="Times New Roman"/>
      <family val="1"/>
    </font>
    <font>
      <sz val="9"/>
      <color indexed="81"/>
      <name val="Tahoma"/>
      <family val="2"/>
    </font>
    <font>
      <b/>
      <u/>
      <sz val="11"/>
      <name val="Times New Roman"/>
      <family val="1"/>
    </font>
    <font>
      <sz val="10"/>
      <color rgb="FFFF0000"/>
      <name val="Times New Roman"/>
      <family val="1"/>
    </font>
    <font>
      <b/>
      <sz val="10"/>
      <color rgb="FFFF0000"/>
      <name val="Times New Roman"/>
      <family val="1"/>
    </font>
    <font>
      <i/>
      <u/>
      <sz val="11"/>
      <color rgb="FFFF0000"/>
      <name val="Times New Roman"/>
      <family val="1"/>
    </font>
    <font>
      <i/>
      <u/>
      <sz val="10"/>
      <color rgb="FFFF0000"/>
      <name val="Times New Roman"/>
      <family val="1"/>
    </font>
    <font>
      <b/>
      <i/>
      <u/>
      <sz val="11"/>
      <color rgb="FFFF0000"/>
      <name val="Times New Roman"/>
      <family val="1"/>
    </font>
    <font>
      <i/>
      <u/>
      <sz val="11"/>
      <name val="Times New Roman"/>
      <family val="1"/>
    </font>
    <font>
      <i/>
      <u/>
      <sz val="10"/>
      <name val="Times New Roman"/>
      <family val="1"/>
    </font>
    <font>
      <b/>
      <i/>
      <u/>
      <sz val="11"/>
      <name val="Times New Roman"/>
      <family val="1"/>
    </font>
    <font>
      <sz val="11"/>
      <color theme="4"/>
      <name val="Times New Roman"/>
      <family val="1"/>
    </font>
    <font>
      <b/>
      <u val="singleAccounting"/>
      <sz val="12"/>
      <name val="Times New Roman"/>
      <family val="1"/>
    </font>
    <font>
      <b/>
      <u/>
      <sz val="11"/>
      <color theme="8"/>
      <name val="Times New Roman"/>
      <family val="1"/>
    </font>
    <font>
      <sz val="11"/>
      <color theme="8"/>
      <name val="Times New Roman"/>
      <family val="1"/>
    </font>
    <font>
      <sz val="10"/>
      <color theme="8"/>
      <name val="Times New Roman"/>
      <family val="1"/>
    </font>
    <font>
      <b/>
      <sz val="11"/>
      <color theme="8"/>
      <name val="Times New Roman"/>
      <family val="1"/>
    </font>
    <font>
      <b/>
      <sz val="9"/>
      <color indexed="81"/>
      <name val="Tahoma"/>
      <family val="2"/>
    </font>
    <font>
      <b/>
      <sz val="16"/>
      <color rgb="FFFFFFFF"/>
      <name val="Calibri"/>
      <family val="2"/>
    </font>
    <font>
      <b/>
      <sz val="11"/>
      <color rgb="FF323232"/>
      <name val="Calibri"/>
      <family val="2"/>
    </font>
    <font>
      <sz val="11"/>
      <color rgb="FF20A698"/>
      <name val="Calibri"/>
      <family val="2"/>
    </font>
    <font>
      <sz val="11"/>
      <color rgb="FF247376"/>
      <name val="Calibri"/>
      <family val="2"/>
    </font>
    <font>
      <sz val="11"/>
      <color rgb="FF323232"/>
      <name val="Calibri"/>
      <family val="2"/>
    </font>
    <font>
      <b/>
      <sz val="11"/>
      <color rgb="FF434343"/>
      <name val="Calibri"/>
      <family val="2"/>
    </font>
    <font>
      <sz val="11"/>
      <color rgb="FF434343"/>
      <name val="Calibri"/>
      <family val="2"/>
    </font>
    <font>
      <sz val="11"/>
      <color rgb="FF000000"/>
      <name val="Aptos Narrow"/>
    </font>
    <font>
      <b/>
      <sz val="11"/>
      <color rgb="FF000000"/>
      <name val="Aptos Narrow"/>
    </font>
    <font>
      <sz val="11"/>
      <color indexed="8"/>
      <name val="Calibri"/>
      <family val="2"/>
      <scheme val="minor"/>
    </font>
    <font>
      <b/>
      <sz val="11"/>
      <color indexed="8"/>
      <name val="Calibri"/>
      <family val="2"/>
      <scheme val="minor"/>
    </font>
    <font>
      <b/>
      <sz val="12"/>
      <color indexed="8"/>
      <name val="Calibri"/>
      <family val="2"/>
      <scheme val="minor"/>
    </font>
    <font>
      <b/>
      <sz val="30"/>
      <color rgb="FFFFFFFF"/>
      <name val="Calibri (Body)"/>
    </font>
    <font>
      <sz val="30"/>
      <color rgb="FFFFFFFF"/>
      <name val="Calibri (Body)"/>
    </font>
    <font>
      <b/>
      <sz val="30"/>
      <name val="Calibri (Body)"/>
    </font>
    <font>
      <sz val="30"/>
      <color theme="1"/>
      <name val="Calibri (Body)"/>
    </font>
  </fonts>
  <fills count="25">
    <fill>
      <patternFill patternType="none"/>
    </fill>
    <fill>
      <patternFill patternType="gray125"/>
    </fill>
    <fill>
      <patternFill patternType="solid">
        <fgColor rgb="FFFFFF00"/>
        <bgColor rgb="FFFFFF00"/>
      </patternFill>
    </fill>
    <fill>
      <patternFill patternType="solid">
        <fgColor rgb="FFFFE598"/>
        <bgColor rgb="FFFFE598"/>
      </patternFill>
    </fill>
    <fill>
      <patternFill patternType="solid">
        <fgColor rgb="FFFFE699"/>
        <bgColor rgb="FFFFE699"/>
      </patternFill>
    </fill>
    <fill>
      <patternFill patternType="solid">
        <fgColor theme="9" tint="0.79998168889431442"/>
        <bgColor indexed="64"/>
      </patternFill>
    </fill>
    <fill>
      <patternFill patternType="solid">
        <fgColor theme="9" tint="-0.249977111117893"/>
        <bgColor indexed="64"/>
      </patternFill>
    </fill>
    <fill>
      <patternFill patternType="solid">
        <fgColor rgb="FFFFFF00"/>
        <bgColor indexed="64"/>
      </patternFill>
    </fill>
    <fill>
      <patternFill patternType="solid">
        <fgColor rgb="FF4472C4"/>
        <bgColor rgb="FF4472C4"/>
      </patternFill>
    </fill>
    <fill>
      <patternFill patternType="solid">
        <fgColor theme="0"/>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FF"/>
        <bgColor rgb="FF000000"/>
      </patternFill>
    </fill>
    <fill>
      <patternFill patternType="solid">
        <fgColor rgb="FFE2EFDA"/>
        <bgColor rgb="FFE2EFDA"/>
      </patternFill>
    </fill>
    <fill>
      <patternFill patternType="solid">
        <fgColor theme="2" tint="-0.749992370372631"/>
        <bgColor indexed="64"/>
      </patternFill>
    </fill>
    <fill>
      <patternFill patternType="solid">
        <fgColor rgb="FF90E5E6"/>
      </patternFill>
    </fill>
    <fill>
      <patternFill patternType="solid">
        <fgColor rgb="FF393939"/>
        <bgColor rgb="FF000000"/>
      </patternFill>
    </fill>
    <fill>
      <patternFill patternType="solid">
        <fgColor rgb="FFEDECE5"/>
      </patternFill>
    </fill>
    <fill>
      <patternFill patternType="solid">
        <fgColor theme="9" tint="0.59999389629810485"/>
        <bgColor indexed="64"/>
      </patternFill>
    </fill>
  </fills>
  <borders count="7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1" tint="0.499984740745262"/>
      </right>
      <top/>
      <bottom/>
      <diagonal/>
    </border>
    <border>
      <left style="thin">
        <color theme="1" tint="0.499984740745262"/>
      </left>
      <right/>
      <top/>
      <bottom/>
      <diagonal/>
    </border>
    <border>
      <left style="thin">
        <color rgb="FF323232"/>
      </left>
      <right style="thin">
        <color rgb="FFEDECE5"/>
      </right>
      <top style="thin">
        <color rgb="FFEDECE5"/>
      </top>
      <bottom style="thin">
        <color rgb="FFEDECE5"/>
      </bottom>
      <diagonal/>
    </border>
    <border>
      <left style="thin">
        <color rgb="FF323232"/>
      </left>
      <right/>
      <top style="thin">
        <color rgb="FFEDECE5"/>
      </top>
      <bottom style="thin">
        <color rgb="FFEDECE5"/>
      </bottom>
      <diagonal/>
    </border>
    <border>
      <left style="thin">
        <color theme="1" tint="0.499984740745262"/>
      </left>
      <right style="thin">
        <color rgb="FFEDECE5"/>
      </right>
      <top style="thin">
        <color rgb="FFEDECE5"/>
      </top>
      <bottom style="thin">
        <color rgb="FFEDECE5"/>
      </bottom>
      <diagonal/>
    </border>
    <border>
      <left style="thin">
        <color rgb="FF323232"/>
      </left>
      <right style="thin">
        <color theme="1" tint="0.499984740745262"/>
      </right>
      <top style="thin">
        <color rgb="FFEDECE5"/>
      </top>
      <bottom style="thin">
        <color rgb="FFEDECE5"/>
      </bottom>
      <diagonal/>
    </border>
    <border>
      <left/>
      <right style="thin">
        <color rgb="FFEDECE5"/>
      </right>
      <top style="thin">
        <color rgb="FFEDECE5"/>
      </top>
      <bottom style="thin">
        <color rgb="FFEDECE5"/>
      </bottom>
      <diagonal/>
    </border>
    <border>
      <left style="thin">
        <color theme="1" tint="0.499984740745262"/>
      </left>
      <right/>
      <top style="thin">
        <color rgb="FFEDECE5"/>
      </top>
      <bottom style="thin">
        <color rgb="FFFFFFFF"/>
      </bottom>
      <diagonal/>
    </border>
    <border>
      <left/>
      <right/>
      <top style="thin">
        <color rgb="FFEDECE5"/>
      </top>
      <bottom style="thin">
        <color rgb="FFFFFFFF"/>
      </bottom>
      <diagonal/>
    </border>
    <border>
      <left/>
      <right style="thin">
        <color theme="1" tint="0.499984740745262"/>
      </right>
      <top style="thin">
        <color rgb="FFEDECE5"/>
      </top>
      <bottom style="thin">
        <color rgb="FFFFFFFF"/>
      </bottom>
      <diagonal/>
    </border>
    <border>
      <left style="thin">
        <color rgb="FF808080"/>
      </left>
      <right/>
      <top style="thin">
        <color rgb="FFEDECE5"/>
      </top>
      <bottom style="thin">
        <color rgb="FFFFFFFF"/>
      </bottom>
      <diagonal/>
    </border>
    <border>
      <left style="thin">
        <color rgb="FFEDECE5"/>
      </left>
      <right style="thin">
        <color indexed="9"/>
      </right>
      <top style="thin">
        <color rgb="FFEDECE5"/>
      </top>
      <bottom style="thin">
        <color rgb="FFEDECE5"/>
      </bottom>
      <diagonal/>
    </border>
    <border>
      <left style="thin">
        <color indexed="9"/>
      </left>
      <right style="thin">
        <color indexed="9"/>
      </right>
      <top style="thin">
        <color rgb="FFEDECE5"/>
      </top>
      <bottom style="thin">
        <color rgb="FFEDECE5"/>
      </bottom>
      <diagonal/>
    </border>
    <border>
      <left style="thin">
        <color rgb="FF323232"/>
      </left>
      <right/>
      <top style="thin">
        <color rgb="FFEDECE5"/>
      </top>
      <bottom/>
      <diagonal/>
    </border>
    <border>
      <left/>
      <right/>
      <top style="thin">
        <color rgb="FFEDECE5"/>
      </top>
      <bottom style="thin">
        <color rgb="FFEDECE5"/>
      </bottom>
      <diagonal/>
    </border>
    <border>
      <left/>
      <right style="thin">
        <color rgb="FF323232"/>
      </right>
      <top style="thin">
        <color rgb="FFEDECE5"/>
      </top>
      <bottom style="thin">
        <color rgb="FFEDECE5"/>
      </bottom>
      <diagonal/>
    </border>
    <border>
      <left style="dotted">
        <color rgb="FF000000"/>
      </left>
      <right style="dotted">
        <color rgb="FF000000"/>
      </right>
      <top style="dotted">
        <color rgb="FF000000"/>
      </top>
      <bottom style="dotted">
        <color rgb="FF000000"/>
      </bottom>
      <diagonal/>
    </border>
    <border>
      <left style="thin">
        <color rgb="FFEDECE5"/>
      </left>
      <right style="thin">
        <color rgb="FFEDECE5"/>
      </right>
      <top style="thin">
        <color rgb="FFEDECE5"/>
      </top>
      <bottom style="thin">
        <color rgb="FFEDECE5"/>
      </bottom>
      <diagonal/>
    </border>
    <border>
      <left style="thin">
        <color rgb="FFEDECE5"/>
      </left>
      <right style="thin">
        <color rgb="FF323232"/>
      </right>
      <top style="thin">
        <color rgb="FFEDECE5"/>
      </top>
      <bottom style="thin">
        <color rgb="FFEDECE5"/>
      </bottom>
      <diagonal/>
    </border>
    <border>
      <left style="thin">
        <color rgb="FFEDECE5"/>
      </left>
      <right/>
      <top style="thin">
        <color rgb="FFEDECE5"/>
      </top>
      <bottom style="thin">
        <color rgb="FFEDECE5"/>
      </bottom>
      <diagonal/>
    </border>
    <border>
      <left style="thin">
        <color rgb="FFEDECE5"/>
      </left>
      <right style="thin">
        <color rgb="FFEDECE5"/>
      </right>
      <top/>
      <bottom style="thin">
        <color rgb="FFEDECE5"/>
      </bottom>
      <diagonal/>
    </border>
    <border>
      <left style="thin">
        <color rgb="FFEDECE5"/>
      </left>
      <right style="thin">
        <color rgb="FF323232"/>
      </right>
      <top/>
      <bottom style="thin">
        <color rgb="FFEDECE5"/>
      </bottom>
      <diagonal/>
    </border>
    <border>
      <left style="thin">
        <color rgb="FFEDECE5"/>
      </left>
      <right style="thin">
        <color rgb="FF000000"/>
      </right>
      <top style="thin">
        <color rgb="FFEDECE5"/>
      </top>
      <bottom style="thin">
        <color rgb="FFEDECE5"/>
      </bottom>
      <diagonal/>
    </border>
    <border>
      <left style="thin">
        <color rgb="FF000000"/>
      </left>
      <right style="thin">
        <color rgb="FFEDECE5"/>
      </right>
      <top style="thin">
        <color rgb="FFEDECE5"/>
      </top>
      <bottom style="thin">
        <color rgb="FFEDECE5"/>
      </bottom>
      <diagonal/>
    </border>
    <border>
      <left style="thin">
        <color rgb="FFEDECE5"/>
      </left>
      <right style="thin">
        <color rgb="FFEDECE5"/>
      </right>
      <top style="thin">
        <color rgb="FFEDECE5"/>
      </top>
      <bottom/>
      <diagonal/>
    </border>
    <border>
      <left style="thin">
        <color rgb="FFEDECE5"/>
      </left>
      <right style="thin">
        <color rgb="FF323232"/>
      </right>
      <top style="thin">
        <color rgb="FFEDECE5"/>
      </top>
      <bottom/>
      <diagonal/>
    </border>
    <border>
      <left/>
      <right/>
      <top/>
      <bottom style="thin">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auto="1"/>
      </left>
      <right/>
      <top style="thin">
        <color auto="1"/>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style="thin">
        <color indexed="9"/>
      </bottom>
      <diagonal/>
    </border>
    <border>
      <left style="thin">
        <color theme="1" tint="0.499984740745262"/>
      </left>
      <right style="thin">
        <color indexed="9"/>
      </right>
      <top style="thin">
        <color indexed="9"/>
      </top>
      <bottom style="thin">
        <color indexed="9"/>
      </bottom>
      <diagonal/>
    </border>
    <border>
      <left style="thin">
        <color rgb="FFEDECE5"/>
      </left>
      <right style="thin">
        <color indexed="9"/>
      </right>
      <top style="thin">
        <color indexed="9"/>
      </top>
      <bottom style="thin">
        <color indexed="9"/>
      </bottom>
      <diagonal/>
    </border>
    <border>
      <left style="thin">
        <color indexed="9"/>
      </left>
      <right style="thin">
        <color rgb="FF000000"/>
      </right>
      <top style="thin">
        <color indexed="9"/>
      </top>
      <bottom style="thin">
        <color indexed="9"/>
      </bottom>
      <diagonal/>
    </border>
    <border>
      <left style="thin">
        <color rgb="FF000000"/>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right/>
      <top style="thin">
        <color indexed="9"/>
      </top>
      <bottom/>
      <diagonal/>
    </border>
  </borders>
  <cellStyleXfs count="11">
    <xf numFmtId="0" fontId="0" fillId="0" borderId="0"/>
    <xf numFmtId="43" fontId="18" fillId="0" borderId="0" applyFont="0" applyFill="0" applyBorder="0" applyAlignment="0" applyProtection="0"/>
    <xf numFmtId="41" fontId="18" fillId="0" borderId="0" applyFont="0" applyFill="0" applyBorder="0" applyAlignment="0" applyProtection="0"/>
    <xf numFmtId="0" fontId="24" fillId="0" borderId="1"/>
    <xf numFmtId="43" fontId="37" fillId="0" borderId="1" applyFont="0" applyFill="0" applyBorder="0" applyAlignment="0" applyProtection="0"/>
    <xf numFmtId="167" fontId="41" fillId="0" borderId="1" applyFont="0" applyFill="0" applyBorder="0" applyAlignment="0" applyProtection="0"/>
    <xf numFmtId="43" fontId="37" fillId="0" borderId="1" applyFont="0" applyFill="0" applyBorder="0" applyAlignment="0" applyProtection="0"/>
    <xf numFmtId="43" fontId="37" fillId="0" borderId="1" applyFont="0" applyFill="0" applyBorder="0" applyAlignment="0" applyProtection="0"/>
    <xf numFmtId="170" fontId="37" fillId="0" borderId="1" applyFont="0" applyFill="0" applyBorder="0" applyAlignment="0" applyProtection="0"/>
    <xf numFmtId="9" fontId="37" fillId="0" borderId="1" applyFont="0" applyFill="0" applyBorder="0" applyAlignment="0" applyProtection="0"/>
    <xf numFmtId="0" fontId="37" fillId="0" borderId="1"/>
  </cellStyleXfs>
  <cellXfs count="574">
    <xf numFmtId="0" fontId="0" fillId="0" borderId="0" xfId="0"/>
    <xf numFmtId="0" fontId="3" fillId="0" borderId="0" xfId="0" applyFont="1"/>
    <xf numFmtId="0" fontId="4" fillId="0" borderId="0" xfId="0" applyFont="1" applyAlignment="1">
      <alignment vertical="top" wrapText="1"/>
    </xf>
    <xf numFmtId="0" fontId="3" fillId="0" borderId="0" xfId="0" applyFont="1" applyAlignment="1">
      <alignment vertical="top"/>
    </xf>
    <xf numFmtId="0" fontId="5" fillId="0" borderId="0" xfId="0" applyFont="1"/>
    <xf numFmtId="0" fontId="5" fillId="0" borderId="0" xfId="0" applyFont="1" applyAlignment="1">
      <alignment vertical="top" wrapText="1"/>
    </xf>
    <xf numFmtId="0" fontId="5" fillId="0" borderId="0" xfId="0" applyFont="1" applyAlignment="1">
      <alignment vertical="top"/>
    </xf>
    <xf numFmtId="0" fontId="6" fillId="0" borderId="0" xfId="0" applyFont="1"/>
    <xf numFmtId="0" fontId="3" fillId="0" borderId="0" xfId="0" applyFont="1" applyAlignment="1">
      <alignment vertical="top" wrapText="1"/>
    </xf>
    <xf numFmtId="0" fontId="3" fillId="0" borderId="0" xfId="0" applyFont="1" applyAlignment="1">
      <alignment wrapText="1"/>
    </xf>
    <xf numFmtId="0" fontId="7" fillId="0" borderId="0" xfId="0" applyFont="1"/>
    <xf numFmtId="0" fontId="4" fillId="0" borderId="0" xfId="0" applyFont="1"/>
    <xf numFmtId="0" fontId="8" fillId="2" borderId="1" xfId="0" applyFont="1" applyFill="1" applyBorder="1" applyAlignment="1">
      <alignment vertical="top"/>
    </xf>
    <xf numFmtId="0" fontId="8" fillId="2" borderId="1" xfId="0" applyFont="1" applyFill="1" applyBorder="1" applyAlignment="1">
      <alignment vertical="top" wrapText="1"/>
    </xf>
    <xf numFmtId="0" fontId="8" fillId="2" borderId="1" xfId="0" applyFont="1" applyFill="1" applyBorder="1"/>
    <xf numFmtId="0" fontId="8" fillId="0" borderId="0" xfId="0" applyFont="1"/>
    <xf numFmtId="0" fontId="9" fillId="3" borderId="2" xfId="0" applyFont="1" applyFill="1" applyBorder="1" applyAlignment="1">
      <alignment vertical="top" wrapText="1"/>
    </xf>
    <xf numFmtId="0" fontId="8" fillId="4" borderId="2" xfId="0" applyFont="1" applyFill="1" applyBorder="1" applyAlignment="1">
      <alignment vertical="top" wrapText="1"/>
    </xf>
    <xf numFmtId="0" fontId="10" fillId="0" borderId="2" xfId="0" applyFont="1" applyBorder="1" applyAlignment="1">
      <alignment horizontal="center" vertical="top" wrapText="1"/>
    </xf>
    <xf numFmtId="0" fontId="11" fillId="0" borderId="2" xfId="0" applyFont="1" applyBorder="1" applyAlignment="1">
      <alignment horizontal="center" vertical="top" wrapText="1"/>
    </xf>
    <xf numFmtId="0" fontId="8" fillId="0" borderId="2" xfId="0" applyFont="1" applyBorder="1"/>
    <xf numFmtId="0" fontId="12" fillId="0" borderId="2" xfId="0" applyFont="1" applyBorder="1" applyAlignment="1">
      <alignment wrapText="1"/>
    </xf>
    <xf numFmtId="0" fontId="13" fillId="0" borderId="2" xfId="0" applyFont="1" applyBorder="1" applyAlignment="1">
      <alignment wrapText="1"/>
    </xf>
    <xf numFmtId="0" fontId="5" fillId="0" borderId="2" xfId="0" applyFont="1" applyBorder="1"/>
    <xf numFmtId="0" fontId="12" fillId="0" borderId="2" xfId="0" applyFont="1" applyBorder="1" applyAlignment="1">
      <alignment vertical="top" wrapText="1"/>
    </xf>
    <xf numFmtId="0" fontId="13" fillId="0" borderId="2" xfId="0" applyFont="1" applyBorder="1" applyAlignment="1">
      <alignment vertical="top" wrapText="1"/>
    </xf>
    <xf numFmtId="0" fontId="8" fillId="0" borderId="2" xfId="0" applyFont="1" applyBorder="1" applyAlignment="1">
      <alignment vertical="top" wrapText="1"/>
    </xf>
    <xf numFmtId="0" fontId="15" fillId="0" borderId="5" xfId="0" applyFont="1" applyBorder="1"/>
    <xf numFmtId="0" fontId="13" fillId="0" borderId="2" xfId="0" applyFont="1" applyBorder="1" applyAlignment="1">
      <alignment horizontal="left" wrapText="1"/>
    </xf>
    <xf numFmtId="0" fontId="16" fillId="0" borderId="2" xfId="0" applyFont="1" applyBorder="1" applyAlignment="1">
      <alignment horizontal="left" vertical="top" wrapText="1"/>
    </xf>
    <xf numFmtId="0" fontId="12" fillId="0" borderId="2" xfId="0" applyFont="1" applyBorder="1" applyAlignment="1">
      <alignment horizontal="left" vertical="top" wrapText="1"/>
    </xf>
    <xf numFmtId="0" fontId="16" fillId="0" borderId="2" xfId="0" applyFont="1" applyBorder="1" applyAlignment="1">
      <alignment vertical="top" wrapText="1"/>
    </xf>
    <xf numFmtId="0" fontId="13" fillId="0" borderId="5" xfId="0" applyFont="1" applyBorder="1" applyAlignment="1">
      <alignment horizontal="center" vertical="top" wrapText="1"/>
    </xf>
    <xf numFmtId="0" fontId="13" fillId="0" borderId="6" xfId="0" applyFont="1" applyBorder="1" applyAlignment="1">
      <alignment horizontal="center" vertical="top" wrapText="1"/>
    </xf>
    <xf numFmtId="0" fontId="12" fillId="0" borderId="6" xfId="0" applyFont="1" applyBorder="1" applyAlignment="1">
      <alignment horizontal="center" vertical="top" wrapText="1"/>
    </xf>
    <xf numFmtId="0" fontId="8" fillId="0" borderId="0" xfId="0" applyFont="1" applyAlignment="1">
      <alignment vertical="top"/>
    </xf>
    <xf numFmtId="0" fontId="8" fillId="0" borderId="0" xfId="0" applyFont="1" applyAlignment="1">
      <alignment vertical="top" wrapText="1"/>
    </xf>
    <xf numFmtId="0" fontId="14" fillId="0" borderId="2" xfId="0" applyFont="1" applyBorder="1" applyAlignment="1">
      <alignment vertical="top" wrapText="1"/>
    </xf>
    <xf numFmtId="0" fontId="3"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9" fillId="3"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8" fillId="5" borderId="2" xfId="0" applyFont="1" applyFill="1" applyBorder="1"/>
    <xf numFmtId="0" fontId="14" fillId="0" borderId="2" xfId="0" applyFont="1" applyBorder="1" applyAlignment="1">
      <alignment horizontal="left" vertical="top" wrapText="1"/>
    </xf>
    <xf numFmtId="0" fontId="20" fillId="0" borderId="0" xfId="0" applyFont="1"/>
    <xf numFmtId="0" fontId="18" fillId="0" borderId="0" xfId="0" applyFont="1"/>
    <xf numFmtId="0" fontId="0" fillId="0" borderId="0" xfId="0" applyAlignment="1">
      <alignment horizontal="center"/>
    </xf>
    <xf numFmtId="3" fontId="0" fillId="0" borderId="0" xfId="0" applyNumberFormat="1"/>
    <xf numFmtId="0" fontId="12" fillId="0" borderId="7" xfId="0" applyFont="1" applyBorder="1" applyAlignment="1">
      <alignment horizontal="center" vertical="center" wrapText="1"/>
    </xf>
    <xf numFmtId="0" fontId="9" fillId="0" borderId="0" xfId="0" applyFont="1" applyAlignment="1">
      <alignment horizontal="left"/>
    </xf>
    <xf numFmtId="164" fontId="8" fillId="0" borderId="7" xfId="1" quotePrefix="1" applyNumberFormat="1" applyFont="1" applyFill="1" applyBorder="1" applyAlignment="1">
      <alignment horizontal="left" vertical="center" wrapText="1"/>
    </xf>
    <xf numFmtId="3" fontId="13" fillId="0" borderId="0" xfId="0" applyNumberFormat="1" applyFont="1" applyAlignment="1">
      <alignment horizontal="right" vertical="center"/>
    </xf>
    <xf numFmtId="0" fontId="12" fillId="0" borderId="7" xfId="0" applyFont="1" applyBorder="1" applyAlignment="1">
      <alignment horizontal="left" vertical="center" wrapText="1"/>
    </xf>
    <xf numFmtId="0" fontId="23" fillId="0" borderId="0" xfId="0" applyFont="1" applyAlignment="1">
      <alignment horizontal="right"/>
    </xf>
    <xf numFmtId="3" fontId="23" fillId="0" borderId="0" xfId="0" applyNumberFormat="1" applyFont="1"/>
    <xf numFmtId="0" fontId="23" fillId="0" borderId="0" xfId="0" applyFont="1"/>
    <xf numFmtId="0" fontId="28" fillId="0" borderId="0" xfId="0" applyFont="1"/>
    <xf numFmtId="0" fontId="2" fillId="0" borderId="0" xfId="0" applyFont="1"/>
    <xf numFmtId="0" fontId="19" fillId="0" borderId="0" xfId="0" applyFont="1"/>
    <xf numFmtId="0" fontId="30" fillId="0" borderId="0" xfId="0" applyFont="1"/>
    <xf numFmtId="0" fontId="2" fillId="0" borderId="0" xfId="0" applyFont="1" applyAlignment="1">
      <alignment horizontal="left" vertical="center"/>
    </xf>
    <xf numFmtId="0" fontId="2" fillId="0" borderId="0" xfId="0" applyFont="1" applyAlignment="1">
      <alignment horizontal="center" vertical="top"/>
    </xf>
    <xf numFmtId="0" fontId="20" fillId="0" borderId="0" xfId="0" applyFont="1" applyAlignment="1">
      <alignment horizontal="center" vertical="top" wrapText="1"/>
    </xf>
    <xf numFmtId="0" fontId="18" fillId="0" borderId="0" xfId="0" applyFont="1" applyAlignment="1">
      <alignment horizontal="right"/>
    </xf>
    <xf numFmtId="0" fontId="18" fillId="0" borderId="0" xfId="0" applyFont="1" applyAlignment="1">
      <alignment wrapText="1"/>
    </xf>
    <xf numFmtId="0" fontId="20" fillId="0" borderId="0" xfId="0" applyFont="1" applyAlignment="1">
      <alignment wrapText="1"/>
    </xf>
    <xf numFmtId="41" fontId="2" fillId="0" borderId="0" xfId="2" applyFont="1"/>
    <xf numFmtId="41" fontId="18" fillId="0" borderId="0" xfId="2" applyFont="1"/>
    <xf numFmtId="0" fontId="32" fillId="0" borderId="0" xfId="0" applyFont="1"/>
    <xf numFmtId="0" fontId="33" fillId="0" borderId="0" xfId="0" applyFont="1" applyAlignment="1">
      <alignment horizontal="right"/>
    </xf>
    <xf numFmtId="1" fontId="9" fillId="3" borderId="2" xfId="0" applyNumberFormat="1" applyFont="1" applyFill="1" applyBorder="1" applyAlignment="1">
      <alignment horizontal="center" vertical="top" wrapText="1"/>
    </xf>
    <xf numFmtId="1" fontId="0" fillId="0" borderId="0" xfId="0" applyNumberFormat="1" applyAlignment="1">
      <alignment horizontal="right"/>
    </xf>
    <xf numFmtId="1" fontId="5" fillId="0" borderId="0" xfId="0" applyNumberFormat="1" applyFont="1" applyAlignment="1">
      <alignment horizontal="right"/>
    </xf>
    <xf numFmtId="1" fontId="8" fillId="0" borderId="0" xfId="0" applyNumberFormat="1" applyFont="1" applyAlignment="1">
      <alignment horizontal="right"/>
    </xf>
    <xf numFmtId="2" fontId="13" fillId="0" borderId="2" xfId="0" applyNumberFormat="1" applyFont="1" applyBorder="1" applyAlignment="1">
      <alignment horizontal="right" wrapText="1"/>
    </xf>
    <xf numFmtId="0" fontId="36" fillId="0" borderId="0" xfId="0" applyFont="1" applyAlignment="1">
      <alignment vertical="center"/>
    </xf>
    <xf numFmtId="0" fontId="36" fillId="9" borderId="0" xfId="0" applyFont="1" applyFill="1" applyAlignment="1">
      <alignment vertical="center"/>
    </xf>
    <xf numFmtId="164" fontId="39" fillId="9" borderId="1" xfId="4" applyNumberFormat="1" applyFont="1" applyFill="1" applyAlignment="1">
      <alignment horizontal="center" vertical="center" wrapText="1"/>
    </xf>
    <xf numFmtId="164" fontId="42" fillId="7" borderId="10" xfId="4" applyNumberFormat="1" applyFont="1" applyFill="1" applyBorder="1" applyAlignment="1">
      <alignment vertical="center" wrapText="1"/>
    </xf>
    <xf numFmtId="164" fontId="36" fillId="9" borderId="1" xfId="4" applyNumberFormat="1" applyFont="1" applyFill="1" applyAlignment="1">
      <alignment vertical="center"/>
    </xf>
    <xf numFmtId="0" fontId="43" fillId="9" borderId="7" xfId="0" applyFont="1" applyFill="1" applyBorder="1" applyAlignment="1">
      <alignment vertical="center" wrapText="1"/>
    </xf>
    <xf numFmtId="164" fontId="43" fillId="9" borderId="7" xfId="4" applyNumberFormat="1" applyFont="1" applyFill="1" applyBorder="1" applyAlignment="1">
      <alignment horizontal="center" vertical="center" wrapText="1"/>
    </xf>
    <xf numFmtId="0" fontId="43" fillId="9" borderId="7" xfId="0" applyFont="1" applyFill="1" applyBorder="1" applyAlignment="1">
      <alignment horizontal="center" vertical="center" wrapText="1"/>
    </xf>
    <xf numFmtId="164" fontId="43" fillId="9" borderId="7" xfId="1" applyNumberFormat="1" applyFont="1" applyFill="1" applyBorder="1" applyAlignment="1">
      <alignment horizontal="center" vertical="center" wrapText="1"/>
    </xf>
    <xf numFmtId="164" fontId="43" fillId="9" borderId="13" xfId="1" applyNumberFormat="1" applyFont="1" applyFill="1" applyBorder="1" applyAlignment="1">
      <alignment vertical="center" wrapText="1"/>
    </xf>
    <xf numFmtId="164" fontId="22" fillId="9" borderId="1" xfId="4" applyNumberFormat="1" applyFont="1" applyFill="1" applyAlignment="1">
      <alignment vertical="center"/>
    </xf>
    <xf numFmtId="164" fontId="40" fillId="7" borderId="14" xfId="4" applyNumberFormat="1" applyFont="1" applyFill="1" applyBorder="1" applyAlignment="1">
      <alignment vertical="center" wrapText="1"/>
    </xf>
    <xf numFmtId="164" fontId="40" fillId="7" borderId="15" xfId="4" applyNumberFormat="1" applyFont="1" applyFill="1" applyBorder="1" applyAlignment="1">
      <alignment vertical="center" wrapText="1"/>
    </xf>
    <xf numFmtId="164" fontId="40" fillId="7" borderId="16" xfId="1" applyNumberFormat="1" applyFont="1" applyFill="1" applyBorder="1" applyAlignment="1">
      <alignment vertical="center" wrapText="1"/>
    </xf>
    <xf numFmtId="164" fontId="42" fillId="7" borderId="14" xfId="4" applyNumberFormat="1" applyFont="1" applyFill="1" applyBorder="1" applyAlignment="1">
      <alignment vertical="center" wrapText="1"/>
    </xf>
    <xf numFmtId="169" fontId="42" fillId="7" borderId="7" xfId="4" applyNumberFormat="1" applyFont="1" applyFill="1" applyBorder="1" applyAlignment="1">
      <alignment horizontal="center" vertical="center" wrapText="1"/>
    </xf>
    <xf numFmtId="164" fontId="42" fillId="7" borderId="7" xfId="4" applyNumberFormat="1" applyFont="1" applyFill="1" applyBorder="1" applyAlignment="1">
      <alignment horizontal="center" vertical="center" wrapText="1"/>
    </xf>
    <xf numFmtId="164" fontId="40" fillId="7" borderId="8" xfId="4" applyNumberFormat="1" applyFont="1" applyFill="1" applyBorder="1" applyAlignment="1">
      <alignment vertical="center" wrapText="1"/>
    </xf>
    <xf numFmtId="164" fontId="42" fillId="7" borderId="14" xfId="0" applyNumberFormat="1" applyFont="1" applyFill="1" applyBorder="1" applyAlignment="1">
      <alignment vertical="center" wrapText="1"/>
    </xf>
    <xf numFmtId="169" fontId="42" fillId="7" borderId="7" xfId="0" applyNumberFormat="1" applyFont="1" applyFill="1" applyBorder="1" applyAlignment="1">
      <alignment horizontal="center" vertical="center" wrapText="1"/>
    </xf>
    <xf numFmtId="0" fontId="43" fillId="9" borderId="17" xfId="0" applyFont="1" applyFill="1" applyBorder="1" applyAlignment="1">
      <alignment vertical="center" wrapText="1"/>
    </xf>
    <xf numFmtId="164" fontId="42" fillId="7" borderId="19" xfId="4" applyNumberFormat="1" applyFont="1" applyFill="1" applyBorder="1" applyAlignment="1">
      <alignment vertical="center"/>
    </xf>
    <xf numFmtId="0" fontId="43" fillId="9" borderId="3" xfId="0" applyFont="1" applyFill="1" applyBorder="1" applyAlignment="1">
      <alignment horizontal="left" vertical="center" wrapText="1"/>
    </xf>
    <xf numFmtId="0" fontId="43" fillId="9" borderId="3" xfId="0" applyFont="1" applyFill="1" applyBorder="1" applyAlignment="1">
      <alignment horizontal="center" vertical="center" wrapText="1"/>
    </xf>
    <xf numFmtId="164" fontId="43" fillId="9" borderId="3" xfId="0" applyNumberFormat="1" applyFont="1" applyFill="1" applyBorder="1" applyAlignment="1">
      <alignment horizontal="center" vertical="center" wrapText="1"/>
    </xf>
    <xf numFmtId="164" fontId="5" fillId="9" borderId="3" xfId="4" applyNumberFormat="1" applyFont="1" applyFill="1" applyBorder="1" applyAlignment="1">
      <alignment vertical="center"/>
    </xf>
    <xf numFmtId="169" fontId="42" fillId="9" borderId="3" xfId="4" applyNumberFormat="1" applyFont="1" applyFill="1" applyBorder="1" applyAlignment="1">
      <alignment horizontal="center" vertical="center"/>
    </xf>
    <xf numFmtId="164" fontId="43" fillId="9" borderId="3" xfId="4" applyNumberFormat="1" applyFont="1" applyFill="1" applyBorder="1" applyAlignment="1">
      <alignment vertical="center" wrapText="1"/>
    </xf>
    <xf numFmtId="0" fontId="43" fillId="9" borderId="7" xfId="0" applyFont="1" applyFill="1" applyBorder="1" applyAlignment="1">
      <alignment horizontal="left" vertical="center" wrapText="1"/>
    </xf>
    <xf numFmtId="164" fontId="43" fillId="9" borderId="7" xfId="0" applyNumberFormat="1" applyFont="1" applyFill="1" applyBorder="1" applyAlignment="1">
      <alignment horizontal="center" vertical="center" wrapText="1"/>
    </xf>
    <xf numFmtId="164" fontId="5" fillId="9" borderId="13" xfId="4" applyNumberFormat="1" applyFont="1" applyFill="1" applyBorder="1" applyAlignment="1">
      <alignment vertical="center"/>
    </xf>
    <xf numFmtId="169" fontId="42" fillId="9" borderId="7" xfId="4" applyNumberFormat="1" applyFont="1" applyFill="1" applyBorder="1" applyAlignment="1">
      <alignment horizontal="center" vertical="center"/>
    </xf>
    <xf numFmtId="169" fontId="43" fillId="9" borderId="7" xfId="1" applyNumberFormat="1" applyFont="1" applyFill="1" applyBorder="1" applyAlignment="1">
      <alignment horizontal="center" vertical="center" wrapText="1"/>
    </xf>
    <xf numFmtId="164" fontId="43" fillId="9" borderId="8" xfId="4" applyNumberFormat="1" applyFont="1" applyFill="1" applyBorder="1" applyAlignment="1">
      <alignment vertical="center" wrapText="1"/>
    </xf>
    <xf numFmtId="164" fontId="43" fillId="0" borderId="7" xfId="4" applyNumberFormat="1" applyFont="1" applyBorder="1" applyAlignment="1">
      <alignment vertical="center" wrapText="1"/>
    </xf>
    <xf numFmtId="164" fontId="43" fillId="0" borderId="7" xfId="4" applyNumberFormat="1" applyFont="1" applyBorder="1" applyAlignment="1">
      <alignment horizontal="center" vertical="center" wrapText="1"/>
    </xf>
    <xf numFmtId="0" fontId="43" fillId="0" borderId="7" xfId="4" applyNumberFormat="1" applyFont="1" applyBorder="1" applyAlignment="1">
      <alignment horizontal="center" vertical="center" wrapText="1"/>
    </xf>
    <xf numFmtId="164" fontId="43" fillId="0" borderId="7" xfId="1" applyNumberFormat="1" applyFont="1" applyBorder="1" applyAlignment="1">
      <alignment vertical="center" wrapText="1"/>
    </xf>
    <xf numFmtId="164" fontId="43" fillId="0" borderId="13" xfId="4" applyNumberFormat="1" applyFont="1" applyBorder="1" applyAlignment="1">
      <alignment vertical="center"/>
    </xf>
    <xf numFmtId="169" fontId="43" fillId="0" borderId="7" xfId="4" applyNumberFormat="1" applyFont="1" applyBorder="1" applyAlignment="1">
      <alignment horizontal="center" vertical="center"/>
    </xf>
    <xf numFmtId="164" fontId="36" fillId="9" borderId="1" xfId="4" applyNumberFormat="1" applyFont="1" applyFill="1" applyBorder="1" applyAlignment="1">
      <alignment vertical="center"/>
    </xf>
    <xf numFmtId="164" fontId="36" fillId="9" borderId="1" xfId="4" applyNumberFormat="1" applyFont="1" applyFill="1" applyBorder="1" applyAlignment="1">
      <alignment horizontal="right" vertical="center" wrapText="1"/>
    </xf>
    <xf numFmtId="164" fontId="36" fillId="9" borderId="1" xfId="4" applyNumberFormat="1" applyFont="1" applyFill="1" applyBorder="1" applyAlignment="1">
      <alignment vertical="center" wrapText="1"/>
    </xf>
    <xf numFmtId="164" fontId="36" fillId="9" borderId="1" xfId="4" applyNumberFormat="1" applyFont="1" applyFill="1" applyBorder="1" applyAlignment="1">
      <alignment horizontal="center" vertical="center" wrapText="1"/>
    </xf>
    <xf numFmtId="0" fontId="36" fillId="9" borderId="1" xfId="4" applyNumberFormat="1" applyFont="1" applyFill="1" applyBorder="1" applyAlignment="1">
      <alignment horizontal="center" vertical="center" wrapText="1"/>
    </xf>
    <xf numFmtId="164" fontId="36" fillId="9" borderId="1" xfId="1" applyNumberFormat="1" applyFont="1" applyFill="1" applyBorder="1" applyAlignment="1">
      <alignment vertical="center" wrapText="1"/>
    </xf>
    <xf numFmtId="164" fontId="36" fillId="9" borderId="1" xfId="4" applyNumberFormat="1" applyFont="1" applyFill="1" applyBorder="1" applyAlignment="1">
      <alignment horizontal="center" vertical="center"/>
    </xf>
    <xf numFmtId="164" fontId="36" fillId="9" borderId="1" xfId="4" applyNumberFormat="1" applyFont="1" applyFill="1" applyAlignment="1">
      <alignment horizontal="right" vertical="center" wrapText="1"/>
    </xf>
    <xf numFmtId="164" fontId="36" fillId="9" borderId="1" xfId="4" applyNumberFormat="1" applyFont="1" applyFill="1" applyAlignment="1">
      <alignment vertical="center" wrapText="1"/>
    </xf>
    <xf numFmtId="164" fontId="36" fillId="9" borderId="1" xfId="4" applyNumberFormat="1" applyFont="1" applyFill="1" applyAlignment="1">
      <alignment horizontal="center" vertical="center" wrapText="1"/>
    </xf>
    <xf numFmtId="164" fontId="36" fillId="9" borderId="0" xfId="1" applyNumberFormat="1" applyFont="1" applyFill="1" applyAlignment="1">
      <alignment vertical="center" wrapText="1"/>
    </xf>
    <xf numFmtId="164" fontId="36" fillId="9" borderId="1" xfId="4" applyNumberFormat="1" applyFont="1" applyFill="1" applyAlignment="1">
      <alignment horizontal="center" vertical="center"/>
    </xf>
    <xf numFmtId="0" fontId="36" fillId="0" borderId="0" xfId="0" applyFont="1" applyAlignment="1">
      <alignment vertical="center" wrapText="1"/>
    </xf>
    <xf numFmtId="0" fontId="36" fillId="0" borderId="0" xfId="0" applyFont="1" applyAlignment="1">
      <alignment horizontal="center" vertical="center" wrapText="1"/>
    </xf>
    <xf numFmtId="164" fontId="36" fillId="0" borderId="0" xfId="1" applyNumberFormat="1" applyFont="1" applyAlignment="1">
      <alignment vertical="center" wrapText="1"/>
    </xf>
    <xf numFmtId="0" fontId="36" fillId="0" borderId="0" xfId="0" applyFont="1" applyAlignment="1">
      <alignment horizontal="center" vertical="center"/>
    </xf>
    <xf numFmtId="0" fontId="47" fillId="0" borderId="0" xfId="0" applyFont="1" applyAlignment="1">
      <alignment vertical="center"/>
    </xf>
    <xf numFmtId="0" fontId="43" fillId="0" borderId="0" xfId="0" applyFont="1" applyAlignment="1">
      <alignment vertical="center"/>
    </xf>
    <xf numFmtId="3" fontId="43" fillId="0" borderId="0" xfId="0" applyNumberFormat="1" applyFont="1" applyAlignment="1">
      <alignment vertical="center"/>
    </xf>
    <xf numFmtId="0" fontId="48" fillId="0" borderId="0" xfId="0" applyFont="1" applyAlignment="1">
      <alignment vertical="center"/>
    </xf>
    <xf numFmtId="0" fontId="43" fillId="0" borderId="0" xfId="0" applyFont="1" applyAlignment="1">
      <alignment vertical="center" wrapText="1"/>
    </xf>
    <xf numFmtId="0" fontId="43" fillId="0" borderId="0" xfId="0" applyFont="1" applyAlignment="1">
      <alignment horizontal="center" vertical="center" wrapText="1"/>
    </xf>
    <xf numFmtId="0" fontId="43" fillId="13" borderId="0" xfId="0" applyFont="1" applyFill="1" applyAlignment="1">
      <alignment vertical="center"/>
    </xf>
    <xf numFmtId="0" fontId="40" fillId="0" borderId="0" xfId="0" applyFont="1" applyAlignment="1">
      <alignment vertical="center"/>
    </xf>
    <xf numFmtId="164" fontId="40" fillId="0" borderId="20" xfId="6" applyNumberFormat="1" applyFont="1" applyFill="1" applyBorder="1" applyAlignment="1">
      <alignment horizontal="center" vertical="center"/>
    </xf>
    <xf numFmtId="3" fontId="40" fillId="0" borderId="21" xfId="6" applyNumberFormat="1" applyFont="1" applyFill="1" applyBorder="1" applyAlignment="1">
      <alignment horizontal="center" vertical="center" wrapText="1"/>
    </xf>
    <xf numFmtId="3" fontId="40" fillId="0" borderId="21" xfId="6" applyNumberFormat="1" applyFont="1" applyFill="1" applyBorder="1" applyAlignment="1">
      <alignment horizontal="center" vertical="center"/>
    </xf>
    <xf numFmtId="3" fontId="40" fillId="0" borderId="21" xfId="7" applyNumberFormat="1" applyFont="1" applyFill="1" applyBorder="1" applyAlignment="1">
      <alignment horizontal="center" vertical="center"/>
    </xf>
    <xf numFmtId="164" fontId="49" fillId="0" borderId="21" xfId="7" applyNumberFormat="1" applyFont="1" applyFill="1" applyBorder="1" applyAlignment="1">
      <alignment horizontal="center" vertical="center"/>
    </xf>
    <xf numFmtId="164" fontId="40" fillId="0" borderId="21" xfId="7" applyNumberFormat="1" applyFont="1" applyFill="1" applyBorder="1" applyAlignment="1">
      <alignment horizontal="center" vertical="center" wrapText="1"/>
    </xf>
    <xf numFmtId="3" fontId="40" fillId="0" borderId="21" xfId="8" applyNumberFormat="1" applyFont="1" applyFill="1" applyBorder="1" applyAlignment="1">
      <alignment horizontal="center" vertical="center"/>
    </xf>
    <xf numFmtId="171" fontId="40" fillId="13" borderId="21" xfId="8" applyNumberFormat="1" applyFont="1" applyFill="1" applyBorder="1" applyAlignment="1">
      <alignment horizontal="center" vertical="center"/>
    </xf>
    <xf numFmtId="171" fontId="40" fillId="0" borderId="22" xfId="8" applyNumberFormat="1" applyFont="1" applyFill="1" applyBorder="1" applyAlignment="1">
      <alignment horizontal="center" vertical="center"/>
    </xf>
    <xf numFmtId="0" fontId="44" fillId="0" borderId="0" xfId="0" applyFont="1" applyAlignment="1">
      <alignment vertical="center"/>
    </xf>
    <xf numFmtId="0" fontId="47" fillId="14" borderId="17" xfId="0" applyFont="1" applyFill="1" applyBorder="1" applyAlignment="1">
      <alignment horizontal="center" vertical="center"/>
    </xf>
    <xf numFmtId="3" fontId="47" fillId="14" borderId="23" xfId="0" applyNumberFormat="1" applyFont="1" applyFill="1" applyBorder="1" applyAlignment="1">
      <alignment horizontal="right" vertical="center"/>
    </xf>
    <xf numFmtId="164" fontId="40" fillId="0" borderId="17" xfId="6" applyNumberFormat="1" applyFont="1" applyFill="1" applyBorder="1" applyAlignment="1">
      <alignment horizontal="left" vertical="center"/>
    </xf>
    <xf numFmtId="164" fontId="40" fillId="0" borderId="23" xfId="1" applyNumberFormat="1" applyFont="1" applyFill="1" applyBorder="1" applyAlignment="1">
      <alignment vertical="center"/>
    </xf>
    <xf numFmtId="164" fontId="43" fillId="0" borderId="17" xfId="6" applyNumberFormat="1" applyFont="1" applyFill="1" applyBorder="1" applyAlignment="1">
      <alignment horizontal="left" vertical="center" wrapText="1"/>
    </xf>
    <xf numFmtId="164" fontId="50" fillId="0" borderId="17" xfId="6" applyNumberFormat="1" applyFont="1" applyFill="1" applyBorder="1" applyAlignment="1">
      <alignment horizontal="left" vertical="center" wrapText="1"/>
    </xf>
    <xf numFmtId="164" fontId="52" fillId="0" borderId="23" xfId="1" applyNumberFormat="1" applyFont="1" applyFill="1" applyBorder="1" applyAlignment="1">
      <alignment vertical="center"/>
    </xf>
    <xf numFmtId="0" fontId="50" fillId="0" borderId="0" xfId="0" applyFont="1" applyAlignment="1">
      <alignment vertical="center"/>
    </xf>
    <xf numFmtId="164" fontId="43" fillId="15" borderId="17" xfId="6" applyNumberFormat="1" applyFont="1" applyFill="1" applyBorder="1" applyAlignment="1">
      <alignment horizontal="left" vertical="center" wrapText="1"/>
    </xf>
    <xf numFmtId="164" fontId="40" fillId="15" borderId="23" xfId="1" applyNumberFormat="1" applyFont="1" applyFill="1" applyBorder="1" applyAlignment="1">
      <alignment vertical="center"/>
    </xf>
    <xf numFmtId="0" fontId="43" fillId="15" borderId="0" xfId="0" applyFont="1" applyFill="1" applyAlignment="1">
      <alignment vertical="center"/>
    </xf>
    <xf numFmtId="164" fontId="43" fillId="16" borderId="17" xfId="6" applyNumberFormat="1" applyFont="1" applyFill="1" applyBorder="1" applyAlignment="1">
      <alignment horizontal="left" vertical="center" wrapText="1"/>
    </xf>
    <xf numFmtId="164" fontId="55" fillId="0" borderId="23" xfId="1" applyNumberFormat="1" applyFont="1" applyFill="1" applyBorder="1" applyAlignment="1">
      <alignment vertical="center"/>
    </xf>
    <xf numFmtId="0" fontId="53" fillId="0" borderId="0" xfId="0" applyFont="1" applyAlignment="1">
      <alignment vertical="center"/>
    </xf>
    <xf numFmtId="0" fontId="47" fillId="0" borderId="17" xfId="0" applyFont="1" applyBorder="1" applyAlignment="1">
      <alignment horizontal="center" vertical="center"/>
    </xf>
    <xf numFmtId="164" fontId="40" fillId="7" borderId="17" xfId="6" applyNumberFormat="1" applyFont="1" applyFill="1" applyBorder="1" applyAlignment="1">
      <alignment horizontal="left" vertical="center" wrapText="1"/>
    </xf>
    <xf numFmtId="0" fontId="40" fillId="0" borderId="17" xfId="10" applyFont="1" applyBorder="1" applyAlignment="1">
      <alignment horizontal="left" vertical="center" wrapText="1"/>
    </xf>
    <xf numFmtId="0" fontId="43" fillId="0" borderId="17" xfId="10" applyFont="1" applyBorder="1" applyAlignment="1">
      <alignment horizontal="left" vertical="center" wrapText="1"/>
    </xf>
    <xf numFmtId="0" fontId="40" fillId="7" borderId="17" xfId="10" applyFont="1" applyFill="1" applyBorder="1" applyAlignment="1">
      <alignment horizontal="left" vertical="center" wrapText="1"/>
    </xf>
    <xf numFmtId="164" fontId="40" fillId="7" borderId="23" xfId="1" applyNumberFormat="1" applyFont="1" applyFill="1" applyBorder="1" applyAlignment="1">
      <alignment vertical="center"/>
    </xf>
    <xf numFmtId="0" fontId="43" fillId="7" borderId="0" xfId="0" applyFont="1" applyFill="1" applyAlignment="1">
      <alignment vertical="center"/>
    </xf>
    <xf numFmtId="0" fontId="43" fillId="18" borderId="2" xfId="0" applyFont="1" applyFill="1" applyBorder="1" applyAlignment="1">
      <alignment vertical="center" wrapText="1"/>
    </xf>
    <xf numFmtId="0" fontId="43" fillId="0" borderId="17" xfId="0" applyFont="1" applyBorder="1" applyAlignment="1">
      <alignment wrapText="1"/>
    </xf>
    <xf numFmtId="0" fontId="58" fillId="7" borderId="17" xfId="0" applyFont="1" applyFill="1" applyBorder="1" applyAlignment="1">
      <alignment horizontal="center" vertical="center" wrapText="1"/>
    </xf>
    <xf numFmtId="164" fontId="59" fillId="0" borderId="23" xfId="1" applyNumberFormat="1" applyFont="1" applyFill="1" applyBorder="1" applyAlignment="1">
      <alignment vertical="center"/>
    </xf>
    <xf numFmtId="0" fontId="59" fillId="0" borderId="0" xfId="0" applyFont="1" applyAlignment="1">
      <alignment vertical="center"/>
    </xf>
    <xf numFmtId="164" fontId="61" fillId="0" borderId="17" xfId="6" applyNumberFormat="1" applyFont="1" applyFill="1" applyBorder="1" applyAlignment="1">
      <alignment horizontal="left" vertical="center" wrapText="1"/>
    </xf>
    <xf numFmtId="0" fontId="61" fillId="0" borderId="24" xfId="0" applyFont="1" applyBorder="1" applyAlignment="1">
      <alignment vertical="center"/>
    </xf>
    <xf numFmtId="0" fontId="59" fillId="0" borderId="25" xfId="0" applyFont="1" applyBorder="1" applyAlignment="1">
      <alignment vertical="center"/>
    </xf>
    <xf numFmtId="3" fontId="59" fillId="0" borderId="25" xfId="0" applyNumberFormat="1" applyFont="1" applyBorder="1" applyAlignment="1">
      <alignment vertical="center"/>
    </xf>
    <xf numFmtId="0" fontId="60" fillId="0" borderId="25" xfId="0" applyFont="1" applyBorder="1" applyAlignment="1">
      <alignment vertical="center"/>
    </xf>
    <xf numFmtId="0" fontId="59" fillId="0" borderId="25" xfId="0" applyFont="1" applyBorder="1" applyAlignment="1">
      <alignment vertical="center" wrapText="1"/>
    </xf>
    <xf numFmtId="0" fontId="59" fillId="0" borderId="25" xfId="0" applyFont="1" applyBorder="1" applyAlignment="1">
      <alignment horizontal="center" vertical="center" wrapText="1"/>
    </xf>
    <xf numFmtId="164" fontId="59" fillId="0" borderId="25" xfId="0" applyNumberFormat="1" applyFont="1" applyBorder="1" applyAlignment="1">
      <alignment vertical="center"/>
    </xf>
    <xf numFmtId="0" fontId="59" fillId="13" borderId="25" xfId="0" applyFont="1" applyFill="1" applyBorder="1" applyAlignment="1">
      <alignment vertical="center"/>
    </xf>
    <xf numFmtId="164" fontId="59" fillId="13" borderId="25" xfId="0" applyNumberFormat="1" applyFont="1" applyFill="1" applyBorder="1" applyAlignment="1">
      <alignment vertical="center"/>
    </xf>
    <xf numFmtId="164" fontId="59" fillId="0" borderId="26" xfId="1" applyNumberFormat="1" applyFont="1" applyFill="1" applyBorder="1" applyAlignment="1">
      <alignment vertical="center"/>
    </xf>
    <xf numFmtId="3" fontId="47" fillId="16" borderId="0" xfId="0" applyNumberFormat="1" applyFont="1" applyFill="1" applyAlignment="1">
      <alignment vertical="center"/>
    </xf>
    <xf numFmtId="3" fontId="40" fillId="0" borderId="0" xfId="0" applyNumberFormat="1" applyFont="1" applyAlignment="1">
      <alignment vertical="center"/>
    </xf>
    <xf numFmtId="0" fontId="13" fillId="0" borderId="4" xfId="0" applyFont="1" applyBorder="1" applyAlignment="1">
      <alignment vertical="top" wrapText="1"/>
    </xf>
    <xf numFmtId="0" fontId="12" fillId="0" borderId="4" xfId="0" applyFont="1" applyBorder="1" applyAlignment="1">
      <alignment horizontal="left" vertical="top" wrapText="1"/>
    </xf>
    <xf numFmtId="0" fontId="12" fillId="0" borderId="4" xfId="0" applyFont="1" applyBorder="1" applyAlignment="1">
      <alignment vertical="top" wrapText="1"/>
    </xf>
    <xf numFmtId="0" fontId="19" fillId="0" borderId="1" xfId="0" applyFont="1" applyBorder="1" applyAlignment="1">
      <alignment horizontal="left" vertical="center" wrapText="1"/>
    </xf>
    <xf numFmtId="0" fontId="2" fillId="0" borderId="1" xfId="0" applyFont="1" applyBorder="1" applyAlignment="1">
      <alignment horizontal="left" vertical="center" wrapText="1"/>
    </xf>
    <xf numFmtId="0" fontId="10" fillId="19" borderId="6" xfId="0" applyFont="1" applyFill="1" applyBorder="1" applyAlignment="1">
      <alignment horizontal="left"/>
    </xf>
    <xf numFmtId="0" fontId="10" fillId="0" borderId="6" xfId="0" applyFont="1" applyBorder="1" applyAlignment="1">
      <alignment horizontal="left"/>
    </xf>
    <xf numFmtId="2" fontId="10" fillId="0" borderId="6" xfId="0" applyNumberFormat="1" applyFont="1" applyBorder="1" applyAlignment="1">
      <alignment horizontal="right"/>
    </xf>
    <xf numFmtId="0" fontId="10" fillId="0" borderId="6" xfId="0" applyFont="1" applyBorder="1" applyAlignment="1">
      <alignment horizontal="left" vertical="top"/>
    </xf>
    <xf numFmtId="0" fontId="10" fillId="0" borderId="6" xfId="0" applyFont="1" applyBorder="1"/>
    <xf numFmtId="0" fontId="0" fillId="20" borderId="0" xfId="0" applyFill="1"/>
    <xf numFmtId="0" fontId="32" fillId="21" borderId="29" xfId="0" applyFont="1" applyFill="1" applyBorder="1"/>
    <xf numFmtId="0" fontId="32" fillId="21" borderId="29" xfId="0" applyFont="1" applyFill="1" applyBorder="1" applyAlignment="1">
      <alignment horizontal="center"/>
    </xf>
    <xf numFmtId="0" fontId="32" fillId="21" borderId="30" xfId="0" applyFont="1" applyFill="1" applyBorder="1"/>
    <xf numFmtId="0" fontId="32" fillId="21" borderId="31" xfId="0" applyFont="1" applyFill="1" applyBorder="1"/>
    <xf numFmtId="0" fontId="32" fillId="21" borderId="32" xfId="0" applyFont="1" applyFill="1" applyBorder="1"/>
    <xf numFmtId="0" fontId="32" fillId="21" borderId="33" xfId="0" applyFont="1" applyFill="1" applyBorder="1"/>
    <xf numFmtId="0" fontId="32" fillId="23" borderId="38" xfId="0" applyFont="1" applyFill="1" applyBorder="1" applyAlignment="1">
      <alignment wrapText="1"/>
    </xf>
    <xf numFmtId="0" fontId="32" fillId="23" borderId="39" xfId="0" applyFont="1" applyFill="1" applyBorder="1" applyAlignment="1">
      <alignment horizontal="center" wrapText="1"/>
    </xf>
    <xf numFmtId="0" fontId="32" fillId="23" borderId="40" xfId="0" applyFont="1" applyFill="1" applyBorder="1" applyAlignment="1">
      <alignment horizontal="center"/>
    </xf>
    <xf numFmtId="0" fontId="32" fillId="23" borderId="41" xfId="0" applyFont="1" applyFill="1" applyBorder="1" applyAlignment="1">
      <alignment horizontal="center"/>
    </xf>
    <xf numFmtId="0" fontId="32" fillId="23" borderId="42" xfId="0" applyFont="1" applyFill="1" applyBorder="1" applyAlignment="1">
      <alignment horizontal="center"/>
    </xf>
    <xf numFmtId="0" fontId="32" fillId="13" borderId="0" xfId="0" applyFont="1" applyFill="1"/>
    <xf numFmtId="4" fontId="7" fillId="13" borderId="43" xfId="0" applyNumberFormat="1" applyFont="1" applyFill="1" applyBorder="1"/>
    <xf numFmtId="0" fontId="15" fillId="13" borderId="44" xfId="0" applyFont="1" applyFill="1" applyBorder="1" applyAlignment="1">
      <alignment horizontal="center"/>
    </xf>
    <xf numFmtId="173" fontId="65" fillId="13" borderId="44" xfId="0" applyNumberFormat="1" applyFont="1" applyFill="1" applyBorder="1" applyAlignment="1">
      <alignment horizontal="center"/>
    </xf>
    <xf numFmtId="173" fontId="66" fillId="13" borderId="44" xfId="0" applyNumberFormat="1" applyFont="1" applyFill="1" applyBorder="1" applyAlignment="1">
      <alignment horizontal="center"/>
    </xf>
    <xf numFmtId="0" fontId="67" fillId="13" borderId="45" xfId="0" applyFont="1" applyFill="1" applyBorder="1" applyAlignment="1">
      <alignment horizontal="center"/>
    </xf>
    <xf numFmtId="0" fontId="15" fillId="13" borderId="29" xfId="0" applyFont="1" applyFill="1" applyBorder="1"/>
    <xf numFmtId="0" fontId="15" fillId="13" borderId="44" xfId="0" applyFont="1" applyFill="1" applyBorder="1"/>
    <xf numFmtId="0" fontId="15" fillId="13" borderId="45" xfId="0" applyFont="1" applyFill="1" applyBorder="1"/>
    <xf numFmtId="0" fontId="15" fillId="13" borderId="46" xfId="0" applyFont="1" applyFill="1" applyBorder="1"/>
    <xf numFmtId="0" fontId="15" fillId="13" borderId="31" xfId="0" applyFont="1" applyFill="1" applyBorder="1"/>
    <xf numFmtId="0" fontId="0" fillId="13" borderId="0" xfId="0" applyFill="1"/>
    <xf numFmtId="0" fontId="0" fillId="13" borderId="27" xfId="0" applyFill="1" applyBorder="1"/>
    <xf numFmtId="0" fontId="0" fillId="13" borderId="28" xfId="0" applyFill="1" applyBorder="1"/>
    <xf numFmtId="0" fontId="68" fillId="23" borderId="2" xfId="0" applyFont="1" applyFill="1" applyBorder="1"/>
    <xf numFmtId="2" fontId="69" fillId="0" borderId="2" xfId="0" applyNumberFormat="1" applyFont="1" applyBorder="1" applyAlignment="1">
      <alignment horizontal="right"/>
    </xf>
    <xf numFmtId="0" fontId="15" fillId="0" borderId="44" xfId="0" applyFont="1" applyBorder="1" applyAlignment="1">
      <alignment horizontal="center"/>
    </xf>
    <xf numFmtId="173" fontId="65" fillId="0" borderId="44" xfId="0" applyNumberFormat="1" applyFont="1" applyBorder="1" applyAlignment="1">
      <alignment horizontal="center"/>
    </xf>
    <xf numFmtId="173" fontId="66" fillId="0" borderId="44" xfId="0" applyNumberFormat="1" applyFont="1" applyBorder="1" applyAlignment="1">
      <alignment horizontal="center"/>
    </xf>
    <xf numFmtId="0" fontId="67" fillId="0" borderId="45" xfId="0" applyFont="1" applyBorder="1" applyAlignment="1">
      <alignment horizontal="center"/>
    </xf>
    <xf numFmtId="0" fontId="15" fillId="21" borderId="29" xfId="0" applyFont="1" applyFill="1" applyBorder="1"/>
    <xf numFmtId="0" fontId="15" fillId="21" borderId="44" xfId="0" applyFont="1" applyFill="1" applyBorder="1"/>
    <xf numFmtId="0" fontId="15" fillId="0" borderId="44" xfId="0" applyFont="1" applyBorder="1"/>
    <xf numFmtId="0" fontId="15" fillId="0" borderId="29" xfId="0" applyFont="1" applyBorder="1"/>
    <xf numFmtId="0" fontId="15" fillId="0" borderId="45" xfId="0" applyFont="1" applyBorder="1"/>
    <xf numFmtId="0" fontId="15" fillId="0" borderId="46" xfId="0" applyFont="1" applyBorder="1"/>
    <xf numFmtId="0" fontId="15" fillId="0" borderId="31" xfId="0" applyFont="1" applyBorder="1" applyAlignment="1">
      <alignment horizontal="center"/>
    </xf>
    <xf numFmtId="0" fontId="0" fillId="0" borderId="27" xfId="0" applyBorder="1"/>
    <xf numFmtId="0" fontId="0" fillId="0" borderId="28" xfId="0" applyBorder="1"/>
    <xf numFmtId="0" fontId="69" fillId="0" borderId="5" xfId="0" applyFont="1" applyBorder="1"/>
    <xf numFmtId="2" fontId="69" fillId="0" borderId="5" xfId="0" applyNumberFormat="1" applyFont="1" applyBorder="1" applyAlignment="1">
      <alignment horizontal="right"/>
    </xf>
    <xf numFmtId="0" fontId="15" fillId="0" borderId="47" xfId="0" applyFont="1" applyBorder="1" applyAlignment="1">
      <alignment horizontal="center"/>
    </xf>
    <xf numFmtId="0" fontId="15" fillId="0" borderId="31" xfId="0" applyFont="1" applyBorder="1"/>
    <xf numFmtId="4" fontId="15" fillId="0" borderId="5" xfId="0" applyNumberFormat="1" applyFont="1" applyBorder="1" applyAlignment="1">
      <alignment horizontal="right"/>
    </xf>
    <xf numFmtId="0" fontId="65" fillId="0" borderId="44" xfId="0" applyFont="1" applyBorder="1" applyAlignment="1">
      <alignment horizontal="center"/>
    </xf>
    <xf numFmtId="0" fontId="66" fillId="0" borderId="44" xfId="0" applyFont="1" applyBorder="1" applyAlignment="1">
      <alignment horizontal="center"/>
    </xf>
    <xf numFmtId="0" fontId="15" fillId="0" borderId="48" xfId="0" applyFont="1" applyBorder="1" applyAlignment="1">
      <alignment horizontal="center"/>
    </xf>
    <xf numFmtId="4" fontId="69" fillId="0" borderId="5" xfId="0" applyNumberFormat="1" applyFont="1" applyBorder="1" applyAlignment="1">
      <alignment horizontal="right"/>
    </xf>
    <xf numFmtId="0" fontId="15" fillId="0" borderId="49" xfId="0" applyFont="1" applyBorder="1"/>
    <xf numFmtId="0" fontId="15" fillId="21" borderId="50" xfId="0" applyFont="1" applyFill="1" applyBorder="1"/>
    <xf numFmtId="0" fontId="15" fillId="0" borderId="2" xfId="0" applyFont="1" applyBorder="1"/>
    <xf numFmtId="2" fontId="15" fillId="0" borderId="2" xfId="0" applyNumberFormat="1" applyFont="1" applyBorder="1" applyAlignment="1">
      <alignment horizontal="right"/>
    </xf>
    <xf numFmtId="0" fontId="15" fillId="21" borderId="45" xfId="0" applyFont="1" applyFill="1" applyBorder="1"/>
    <xf numFmtId="2" fontId="15" fillId="0" borderId="5" xfId="0" applyNumberFormat="1" applyFont="1" applyBorder="1" applyAlignment="1">
      <alignment horizontal="right"/>
    </xf>
    <xf numFmtId="0" fontId="32" fillId="23" borderId="5" xfId="0" applyFont="1" applyFill="1" applyBorder="1"/>
    <xf numFmtId="0" fontId="15" fillId="21" borderId="46" xfId="0" applyFont="1" applyFill="1" applyBorder="1"/>
    <xf numFmtId="0" fontId="65" fillId="0" borderId="44" xfId="0" applyFont="1" applyBorder="1"/>
    <xf numFmtId="0" fontId="66" fillId="0" borderId="44" xfId="0" applyFont="1" applyBorder="1"/>
    <xf numFmtId="0" fontId="15" fillId="0" borderId="51" xfId="0" applyFont="1" applyBorder="1" applyAlignment="1">
      <alignment horizontal="center"/>
    </xf>
    <xf numFmtId="0" fontId="65" fillId="0" borderId="51" xfId="0" applyFont="1" applyBorder="1"/>
    <xf numFmtId="0" fontId="66" fillId="0" borderId="51" xfId="0" applyFont="1" applyBorder="1"/>
    <xf numFmtId="0" fontId="15" fillId="0" borderId="52" xfId="0" applyFont="1" applyBorder="1"/>
    <xf numFmtId="0" fontId="15" fillId="0" borderId="0" xfId="0" applyFont="1"/>
    <xf numFmtId="0" fontId="15" fillId="0" borderId="53" xfId="0" applyFont="1" applyBorder="1"/>
    <xf numFmtId="2" fontId="15" fillId="0" borderId="0" xfId="0" applyNumberFormat="1" applyFont="1" applyAlignment="1">
      <alignment horizontal="right"/>
    </xf>
    <xf numFmtId="0" fontId="32" fillId="23" borderId="0" xfId="0" applyFont="1" applyFill="1"/>
    <xf numFmtId="165" fontId="15" fillId="0" borderId="4" xfId="0" applyNumberFormat="1" applyFont="1" applyBorder="1" applyAlignment="1">
      <alignment horizontal="right"/>
    </xf>
    <xf numFmtId="0" fontId="65" fillId="13" borderId="44" xfId="0" applyFont="1" applyFill="1" applyBorder="1"/>
    <xf numFmtId="0" fontId="66" fillId="13" borderId="44" xfId="0" applyFont="1" applyFill="1" applyBorder="1"/>
    <xf numFmtId="0" fontId="15" fillId="0" borderId="43" xfId="0" applyFont="1" applyBorder="1"/>
    <xf numFmtId="4" fontId="15" fillId="24" borderId="43" xfId="0" applyNumberFormat="1" applyFont="1" applyFill="1" applyBorder="1" applyAlignment="1">
      <alignment horizontal="right"/>
    </xf>
    <xf numFmtId="4" fontId="15" fillId="0" borderId="43" xfId="0" applyNumberFormat="1" applyFont="1" applyBorder="1"/>
    <xf numFmtId="0" fontId="70" fillId="0" borderId="43" xfId="0" applyFont="1" applyBorder="1"/>
    <xf numFmtId="0" fontId="22" fillId="18" borderId="43" xfId="0" applyFont="1" applyFill="1" applyBorder="1" applyAlignment="1">
      <alignment vertical="center" wrapText="1"/>
    </xf>
    <xf numFmtId="0" fontId="32" fillId="0" borderId="43" xfId="0" applyFont="1" applyBorder="1"/>
    <xf numFmtId="0" fontId="14" fillId="18" borderId="43" xfId="0" applyFont="1" applyFill="1" applyBorder="1" applyAlignment="1">
      <alignment horizontal="left" vertical="center"/>
    </xf>
    <xf numFmtId="4" fontId="32" fillId="0" borderId="43" xfId="0" applyNumberFormat="1" applyFont="1" applyBorder="1"/>
    <xf numFmtId="0" fontId="14" fillId="18" borderId="43" xfId="0" applyFont="1" applyFill="1" applyBorder="1" applyAlignment="1">
      <alignment horizontal="left" vertical="center" wrapText="1"/>
    </xf>
    <xf numFmtId="0" fontId="16" fillId="18" borderId="43" xfId="0" applyFont="1" applyFill="1" applyBorder="1" applyAlignment="1">
      <alignment horizontal="left" vertical="center" wrapText="1"/>
    </xf>
    <xf numFmtId="0" fontId="72" fillId="0" borderId="0" xfId="0" applyFont="1"/>
    <xf numFmtId="0" fontId="73" fillId="0" borderId="0" xfId="0" applyFont="1"/>
    <xf numFmtId="0" fontId="74" fillId="0" borderId="0" xfId="0" applyFont="1"/>
    <xf numFmtId="0" fontId="78" fillId="20" borderId="0" xfId="0" applyFont="1" applyFill="1"/>
    <xf numFmtId="0" fontId="78" fillId="20" borderId="27" xfId="0" applyFont="1" applyFill="1" applyBorder="1"/>
    <xf numFmtId="0" fontId="78" fillId="20" borderId="28" xfId="0" applyFont="1" applyFill="1" applyBorder="1"/>
    <xf numFmtId="0" fontId="32" fillId="13" borderId="0" xfId="0" applyFont="1" applyFill="1" applyAlignment="1">
      <alignment wrapText="1"/>
    </xf>
    <xf numFmtId="0" fontId="16" fillId="5" borderId="2" xfId="0" applyFont="1" applyFill="1" applyBorder="1" applyAlignment="1">
      <alignment vertical="top" wrapText="1"/>
    </xf>
    <xf numFmtId="0" fontId="8" fillId="0" borderId="1" xfId="0" applyFont="1" applyBorder="1" applyAlignment="1">
      <alignment vertical="top" wrapText="1"/>
    </xf>
    <xf numFmtId="0" fontId="8" fillId="0" borderId="3" xfId="0" applyFont="1" applyBorder="1"/>
    <xf numFmtId="0" fontId="10" fillId="0" borderId="54" xfId="0" applyFont="1" applyBorder="1" applyAlignment="1">
      <alignment horizontal="left"/>
    </xf>
    <xf numFmtId="0" fontId="10" fillId="19" borderId="54" xfId="0" applyFont="1" applyFill="1" applyBorder="1" applyAlignment="1">
      <alignment horizontal="left"/>
    </xf>
    <xf numFmtId="0" fontId="10" fillId="0" borderId="54" xfId="0" applyFont="1" applyBorder="1" applyAlignment="1">
      <alignment horizontal="left" vertical="top"/>
    </xf>
    <xf numFmtId="2" fontId="10" fillId="0" borderId="54" xfId="0" applyNumberFormat="1" applyFont="1" applyBorder="1" applyAlignment="1">
      <alignment horizontal="right"/>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3" xfId="0" applyFont="1" applyBorder="1" applyAlignment="1">
      <alignment vertical="top" wrapText="1"/>
    </xf>
    <xf numFmtId="164" fontId="60" fillId="0" borderId="55" xfId="6" applyNumberFormat="1" applyFont="1" applyFill="1" applyBorder="1" applyAlignment="1">
      <alignment vertical="center"/>
    </xf>
    <xf numFmtId="0" fontId="19" fillId="0" borderId="55" xfId="0" applyFont="1" applyBorder="1" applyAlignment="1">
      <alignment horizontal="left" vertical="center" wrapText="1"/>
    </xf>
    <xf numFmtId="0" fontId="2" fillId="0" borderId="55" xfId="0" applyFont="1" applyBorder="1" applyAlignment="1">
      <alignment horizontal="left" vertical="center" wrapText="1"/>
    </xf>
    <xf numFmtId="0" fontId="9" fillId="0" borderId="55" xfId="0" applyFont="1" applyBorder="1"/>
    <xf numFmtId="0" fontId="14" fillId="0" borderId="55" xfId="0" applyFont="1" applyBorder="1" applyAlignment="1">
      <alignment vertical="top" wrapText="1"/>
    </xf>
    <xf numFmtId="0" fontId="8" fillId="0" borderId="55" xfId="0" applyFont="1" applyBorder="1"/>
    <xf numFmtId="0" fontId="10" fillId="0" borderId="55" xfId="0" applyFont="1" applyBorder="1" applyAlignment="1">
      <alignment horizontal="left"/>
    </xf>
    <xf numFmtId="0" fontId="10" fillId="19" borderId="55" xfId="0" applyFont="1" applyFill="1" applyBorder="1" applyAlignment="1">
      <alignment horizontal="left"/>
    </xf>
    <xf numFmtId="0" fontId="10" fillId="0" borderId="55" xfId="0" applyFont="1" applyBorder="1" applyAlignment="1">
      <alignment horizontal="left" vertical="top"/>
    </xf>
    <xf numFmtId="2" fontId="10" fillId="0" borderId="55" xfId="0" applyNumberFormat="1" applyFont="1" applyBorder="1" applyAlignment="1">
      <alignment horizontal="right"/>
    </xf>
    <xf numFmtId="0" fontId="15" fillId="0" borderId="55" xfId="0" applyFont="1" applyBorder="1"/>
    <xf numFmtId="0" fontId="5" fillId="0" borderId="55" xfId="0" applyFont="1" applyBorder="1"/>
    <xf numFmtId="0" fontId="8" fillId="0" borderId="55" xfId="0" applyFont="1" applyBorder="1" applyAlignment="1">
      <alignment vertical="top"/>
    </xf>
    <xf numFmtId="0" fontId="8" fillId="0" borderId="55" xfId="0" applyFont="1" applyBorder="1" applyAlignment="1">
      <alignment vertical="top" wrapText="1"/>
    </xf>
    <xf numFmtId="1" fontId="8" fillId="0" borderId="55" xfId="0" applyNumberFormat="1" applyFont="1" applyBorder="1" applyAlignment="1">
      <alignment horizontal="right"/>
    </xf>
    <xf numFmtId="2" fontId="12" fillId="0" borderId="55" xfId="0" applyNumberFormat="1" applyFont="1" applyBorder="1" applyAlignment="1">
      <alignment horizontal="right" wrapText="1"/>
    </xf>
    <xf numFmtId="0" fontId="20" fillId="0" borderId="55" xfId="0" applyFont="1" applyBorder="1"/>
    <xf numFmtId="0" fontId="18" fillId="0" borderId="55" xfId="0" applyFont="1" applyBorder="1"/>
    <xf numFmtId="0" fontId="18" fillId="0" borderId="55" xfId="0" applyFont="1" applyBorder="1" applyAlignment="1">
      <alignment horizontal="right"/>
    </xf>
    <xf numFmtId="0" fontId="20" fillId="0" borderId="55" xfId="0" applyFont="1" applyBorder="1" applyAlignment="1">
      <alignment horizontal="right"/>
    </xf>
    <xf numFmtId="2" fontId="20" fillId="0" borderId="55" xfId="2" applyNumberFormat="1" applyFont="1" applyBorder="1" applyAlignment="1">
      <alignment horizontal="right"/>
    </xf>
    <xf numFmtId="0" fontId="18" fillId="0" borderId="55" xfId="0" applyFont="1" applyBorder="1" applyAlignment="1">
      <alignment wrapText="1"/>
    </xf>
    <xf numFmtId="2" fontId="20" fillId="0" borderId="55" xfId="0" applyNumberFormat="1" applyFont="1" applyBorder="1" applyAlignment="1">
      <alignment horizontal="right"/>
    </xf>
    <xf numFmtId="0" fontId="19" fillId="0" borderId="55" xfId="0" applyFont="1" applyBorder="1" applyAlignment="1">
      <alignment horizontal="left" vertical="center"/>
    </xf>
    <xf numFmtId="0" fontId="20" fillId="0" borderId="55" xfId="0" applyFont="1" applyBorder="1" applyAlignment="1">
      <alignment horizontal="left" vertical="top" wrapText="1"/>
    </xf>
    <xf numFmtId="0" fontId="2" fillId="0" borderId="55" xfId="0" applyFont="1" applyBorder="1" applyAlignment="1">
      <alignment horizontal="left" vertical="center"/>
    </xf>
    <xf numFmtId="2" fontId="19" fillId="0" borderId="55" xfId="0" applyNumberFormat="1" applyFont="1" applyBorder="1" applyAlignment="1">
      <alignment horizontal="right" vertical="center"/>
    </xf>
    <xf numFmtId="0" fontId="19" fillId="0" borderId="55" xfId="0" applyFont="1" applyBorder="1" applyAlignment="1">
      <alignment horizontal="left" vertical="top" wrapText="1"/>
    </xf>
    <xf numFmtId="0" fontId="19" fillId="0" borderId="57" xfId="0" applyFont="1" applyBorder="1" applyAlignment="1">
      <alignment vertical="center"/>
    </xf>
    <xf numFmtId="0" fontId="19" fillId="0" borderId="55" xfId="0" applyFont="1" applyBorder="1" applyAlignment="1">
      <alignment vertical="top" wrapText="1"/>
    </xf>
    <xf numFmtId="0" fontId="19" fillId="0" borderId="55" xfId="0" applyFont="1" applyBorder="1" applyAlignment="1">
      <alignment horizontal="center" vertical="top"/>
    </xf>
    <xf numFmtId="0" fontId="20" fillId="0" borderId="55" xfId="0" applyFont="1" applyBorder="1" applyAlignment="1">
      <alignment horizontal="center" vertical="top" wrapText="1"/>
    </xf>
    <xf numFmtId="0" fontId="2" fillId="0" borderId="55" xfId="0" applyFont="1" applyBorder="1" applyAlignment="1">
      <alignment horizontal="left" wrapText="1"/>
    </xf>
    <xf numFmtId="166" fontId="2" fillId="0" borderId="55" xfId="2" applyNumberFormat="1" applyFont="1" applyBorder="1" applyAlignment="1">
      <alignment horizontal="right"/>
    </xf>
    <xf numFmtId="0" fontId="2" fillId="0" borderId="55" xfId="0" applyFont="1" applyBorder="1" applyAlignment="1">
      <alignment horizontal="left"/>
    </xf>
    <xf numFmtId="0" fontId="2" fillId="0" borderId="58" xfId="0" applyFont="1" applyBorder="1"/>
    <xf numFmtId="0" fontId="2" fillId="0" borderId="55" xfId="0" applyFont="1" applyBorder="1"/>
    <xf numFmtId="0" fontId="29" fillId="0" borderId="55" xfId="0" applyFont="1" applyBorder="1" applyAlignment="1">
      <alignment horizontal="left"/>
    </xf>
    <xf numFmtId="0" fontId="19" fillId="0" borderId="55" xfId="0" applyFont="1" applyBorder="1" applyAlignment="1">
      <alignment horizontal="right"/>
    </xf>
    <xf numFmtId="0" fontId="30" fillId="0" borderId="55" xfId="0" applyFont="1" applyBorder="1" applyAlignment="1">
      <alignment horizontal="left"/>
    </xf>
    <xf numFmtId="0" fontId="34" fillId="8" borderId="55" xfId="0" applyFont="1" applyFill="1" applyBorder="1" applyAlignment="1">
      <alignment horizontal="center" vertical="center" wrapText="1"/>
    </xf>
    <xf numFmtId="0" fontId="0" fillId="0" borderId="55" xfId="0" applyBorder="1" applyAlignment="1">
      <alignment horizontal="center" vertical="center"/>
    </xf>
    <xf numFmtId="0" fontId="0" fillId="0" borderId="55" xfId="0" applyBorder="1" applyAlignment="1">
      <alignment vertical="center" wrapText="1"/>
    </xf>
    <xf numFmtId="3" fontId="0" fillId="0" borderId="55" xfId="0" applyNumberFormat="1" applyBorder="1" applyAlignment="1">
      <alignment horizontal="right" vertical="center"/>
    </xf>
    <xf numFmtId="3" fontId="32" fillId="0" borderId="55" xfId="0" applyNumberFormat="1" applyFont="1" applyBorder="1" applyAlignment="1">
      <alignment horizontal="right"/>
    </xf>
    <xf numFmtId="3" fontId="35" fillId="2" borderId="55" xfId="0" applyNumberFormat="1" applyFont="1" applyFill="1" applyBorder="1" applyAlignment="1">
      <alignment horizontal="right"/>
    </xf>
    <xf numFmtId="0" fontId="40" fillId="11" borderId="58" xfId="4" applyNumberFormat="1" applyFont="1" applyFill="1" applyBorder="1" applyAlignment="1">
      <alignment vertical="center" wrapText="1"/>
    </xf>
    <xf numFmtId="0" fontId="40" fillId="11" borderId="58" xfId="4" applyNumberFormat="1" applyFont="1" applyFill="1" applyBorder="1" applyAlignment="1">
      <alignment horizontal="center" vertical="center" wrapText="1"/>
    </xf>
    <xf numFmtId="164" fontId="40" fillId="11" borderId="58" xfId="1" applyNumberFormat="1" applyFont="1" applyFill="1" applyBorder="1" applyAlignment="1">
      <alignment horizontal="center" vertical="center" wrapText="1"/>
    </xf>
    <xf numFmtId="164" fontId="40" fillId="11" borderId="58" xfId="4" applyNumberFormat="1" applyFont="1" applyFill="1" applyBorder="1" applyAlignment="1">
      <alignment horizontal="center" vertical="center" wrapText="1"/>
    </xf>
    <xf numFmtId="164" fontId="40" fillId="11" borderId="55" xfId="4" applyNumberFormat="1" applyFont="1" applyFill="1" applyBorder="1" applyAlignment="1">
      <alignment horizontal="center" vertical="center" wrapText="1"/>
    </xf>
    <xf numFmtId="164" fontId="40" fillId="9" borderId="55" xfId="4" applyNumberFormat="1" applyFont="1" applyFill="1" applyBorder="1" applyAlignment="1">
      <alignment horizontal="center" vertical="center" wrapText="1"/>
    </xf>
    <xf numFmtId="164" fontId="36" fillId="0" borderId="56" xfId="4" applyNumberFormat="1" applyFont="1" applyBorder="1" applyAlignment="1">
      <alignment vertical="center"/>
    </xf>
    <xf numFmtId="164" fontId="42" fillId="7" borderId="55" xfId="4" applyNumberFormat="1" applyFont="1" applyFill="1" applyBorder="1" applyAlignment="1">
      <alignment horizontal="center" vertical="center" wrapText="1"/>
    </xf>
    <xf numFmtId="164" fontId="40" fillId="7" borderId="59" xfId="4" applyNumberFormat="1" applyFont="1" applyFill="1" applyBorder="1" applyAlignment="1">
      <alignment vertical="center" wrapText="1"/>
    </xf>
    <xf numFmtId="164" fontId="22" fillId="0" borderId="55" xfId="4" applyNumberFormat="1" applyFont="1" applyBorder="1" applyAlignment="1">
      <alignment vertical="center"/>
    </xf>
    <xf numFmtId="169" fontId="43" fillId="9" borderId="55" xfId="1" applyNumberFormat="1" applyFont="1" applyFill="1" applyBorder="1" applyAlignment="1">
      <alignment horizontal="center" vertical="center" wrapText="1"/>
    </xf>
    <xf numFmtId="164" fontId="43" fillId="9" borderId="59" xfId="4" applyNumberFormat="1" applyFont="1" applyFill="1" applyBorder="1" applyAlignment="1">
      <alignment vertical="center" wrapText="1"/>
    </xf>
    <xf numFmtId="164" fontId="22" fillId="0" borderId="56" xfId="4" applyNumberFormat="1" applyFont="1" applyBorder="1" applyAlignment="1">
      <alignment vertical="center"/>
    </xf>
    <xf numFmtId="0" fontId="43" fillId="9" borderId="55" xfId="0" applyFont="1" applyFill="1" applyBorder="1" applyAlignment="1">
      <alignment vertical="center" wrapText="1"/>
    </xf>
    <xf numFmtId="164" fontId="43" fillId="9" borderId="55" xfId="4" applyNumberFormat="1" applyFont="1" applyFill="1" applyBorder="1" applyAlignment="1">
      <alignment horizontal="center" vertical="center" wrapText="1"/>
    </xf>
    <xf numFmtId="0" fontId="43" fillId="9" borderId="55" xfId="0" applyFont="1" applyFill="1" applyBorder="1" applyAlignment="1">
      <alignment horizontal="center" vertical="center" wrapText="1"/>
    </xf>
    <xf numFmtId="164" fontId="43" fillId="9" borderId="55" xfId="1" applyNumberFormat="1" applyFont="1" applyFill="1" applyBorder="1" applyAlignment="1">
      <alignment horizontal="center" vertical="center" wrapText="1"/>
    </xf>
    <xf numFmtId="164" fontId="44" fillId="9" borderId="55" xfId="4" applyNumberFormat="1" applyFont="1" applyFill="1" applyBorder="1" applyAlignment="1">
      <alignment vertical="center" wrapText="1"/>
    </xf>
    <xf numFmtId="164" fontId="43" fillId="9" borderId="55" xfId="4" applyNumberFormat="1" applyFont="1" applyFill="1" applyBorder="1" applyAlignment="1">
      <alignment vertical="center" wrapText="1"/>
    </xf>
    <xf numFmtId="164" fontId="43" fillId="9" borderId="55" xfId="1" applyNumberFormat="1" applyFont="1" applyFill="1" applyBorder="1" applyAlignment="1">
      <alignment vertical="center" wrapText="1"/>
    </xf>
    <xf numFmtId="164" fontId="36" fillId="0" borderId="55" xfId="4" applyNumberFormat="1" applyFont="1" applyBorder="1" applyAlignment="1">
      <alignment vertical="center"/>
    </xf>
    <xf numFmtId="164" fontId="43" fillId="0" borderId="55" xfId="4" applyNumberFormat="1" applyFont="1" applyBorder="1" applyAlignment="1">
      <alignment vertical="center" wrapText="1"/>
    </xf>
    <xf numFmtId="164" fontId="43" fillId="0" borderId="55" xfId="4" applyNumberFormat="1" applyFont="1" applyBorder="1" applyAlignment="1">
      <alignment horizontal="center" vertical="center" wrapText="1"/>
    </xf>
    <xf numFmtId="0" fontId="43" fillId="0" borderId="55" xfId="4" applyNumberFormat="1" applyFont="1" applyBorder="1" applyAlignment="1">
      <alignment horizontal="center" vertical="center" wrapText="1"/>
    </xf>
    <xf numFmtId="164" fontId="43" fillId="0" borderId="55" xfId="1" applyNumberFormat="1" applyFont="1" applyBorder="1" applyAlignment="1">
      <alignment horizontal="center" vertical="center" wrapText="1"/>
    </xf>
    <xf numFmtId="164" fontId="43" fillId="0" borderId="56" xfId="4" applyNumberFormat="1" applyFont="1" applyBorder="1" applyAlignment="1">
      <alignment vertical="center"/>
    </xf>
    <xf numFmtId="169" fontId="43" fillId="0" borderId="55" xfId="4" applyNumberFormat="1" applyFont="1" applyBorder="1" applyAlignment="1">
      <alignment vertical="center"/>
    </xf>
    <xf numFmtId="169" fontId="43" fillId="9" borderId="55" xfId="1" applyNumberFormat="1" applyFont="1" applyFill="1" applyBorder="1" applyAlignment="1">
      <alignment vertical="center" wrapText="1"/>
    </xf>
    <xf numFmtId="164" fontId="43" fillId="0" borderId="57" xfId="4" applyNumberFormat="1" applyFont="1" applyBorder="1" applyAlignment="1">
      <alignment vertical="center"/>
    </xf>
    <xf numFmtId="164" fontId="43" fillId="0" borderId="55" xfId="4" applyNumberFormat="1" applyFont="1" applyBorder="1" applyAlignment="1">
      <alignment vertical="center"/>
    </xf>
    <xf numFmtId="164" fontId="43" fillId="0" borderId="55" xfId="1" applyNumberFormat="1" applyFont="1" applyBorder="1" applyAlignment="1">
      <alignment vertical="center" wrapText="1"/>
    </xf>
    <xf numFmtId="169" fontId="43" fillId="0" borderId="55" xfId="4" applyNumberFormat="1" applyFont="1" applyBorder="1" applyAlignment="1">
      <alignment horizontal="center" vertical="center"/>
    </xf>
    <xf numFmtId="164" fontId="43" fillId="9" borderId="60" xfId="4" applyNumberFormat="1" applyFont="1" applyFill="1" applyBorder="1" applyAlignment="1">
      <alignment horizontal="left" vertical="center" wrapText="1"/>
    </xf>
    <xf numFmtId="0" fontId="43" fillId="9" borderId="58" xfId="0" applyFont="1" applyFill="1" applyBorder="1" applyAlignment="1">
      <alignment vertical="center" wrapText="1"/>
    </xf>
    <xf numFmtId="164" fontId="43" fillId="0" borderId="58" xfId="4" applyNumberFormat="1" applyFont="1" applyBorder="1" applyAlignment="1">
      <alignment vertical="center" wrapText="1"/>
    </xf>
    <xf numFmtId="164" fontId="43" fillId="0" borderId="58" xfId="4" applyNumberFormat="1" applyFont="1" applyBorder="1" applyAlignment="1">
      <alignment horizontal="center" vertical="center" wrapText="1"/>
    </xf>
    <xf numFmtId="0" fontId="43" fillId="0" borderId="58" xfId="4" applyNumberFormat="1" applyFont="1" applyBorder="1" applyAlignment="1">
      <alignment horizontal="center" vertical="center" wrapText="1"/>
    </xf>
    <xf numFmtId="164" fontId="43" fillId="0" borderId="58" xfId="1" applyNumberFormat="1" applyFont="1" applyBorder="1" applyAlignment="1">
      <alignment horizontal="center" vertical="center" wrapText="1"/>
    </xf>
    <xf numFmtId="164" fontId="43" fillId="0" borderId="61" xfId="4" applyNumberFormat="1" applyFont="1" applyBorder="1" applyAlignment="1">
      <alignment vertical="center"/>
    </xf>
    <xf numFmtId="169" fontId="43" fillId="0" borderId="58" xfId="4" applyNumberFormat="1" applyFont="1" applyBorder="1" applyAlignment="1">
      <alignment horizontal="center" vertical="center"/>
    </xf>
    <xf numFmtId="169" fontId="43" fillId="9" borderId="58" xfId="1" applyNumberFormat="1" applyFont="1" applyFill="1" applyBorder="1" applyAlignment="1">
      <alignment horizontal="center" vertical="center" wrapText="1"/>
    </xf>
    <xf numFmtId="164" fontId="43" fillId="9" borderId="60" xfId="4" applyNumberFormat="1" applyFont="1" applyFill="1" applyBorder="1" applyAlignment="1">
      <alignment vertical="center" wrapText="1"/>
    </xf>
    <xf numFmtId="0" fontId="75" fillId="20" borderId="62" xfId="0" applyFont="1" applyFill="1" applyBorder="1" applyAlignment="1">
      <alignment horizontal="left"/>
    </xf>
    <xf numFmtId="0" fontId="76" fillId="20" borderId="62" xfId="0" applyFont="1" applyFill="1" applyBorder="1" applyAlignment="1">
      <alignment horizontal="left"/>
    </xf>
    <xf numFmtId="0" fontId="77" fillId="20" borderId="62" xfId="0" applyFont="1" applyFill="1" applyBorder="1" applyAlignment="1">
      <alignment horizontal="center"/>
    </xf>
    <xf numFmtId="0" fontId="77" fillId="20" borderId="62" xfId="0" applyFont="1" applyFill="1" applyBorder="1" applyAlignment="1">
      <alignment horizontal="left"/>
    </xf>
    <xf numFmtId="0" fontId="77" fillId="20" borderId="63" xfId="0" applyFont="1" applyFill="1" applyBorder="1" applyAlignment="1">
      <alignment horizontal="left"/>
    </xf>
    <xf numFmtId="0" fontId="76" fillId="20" borderId="63" xfId="0" applyFont="1" applyFill="1" applyBorder="1" applyAlignment="1">
      <alignment horizontal="left"/>
    </xf>
    <xf numFmtId="0" fontId="77" fillId="20" borderId="64" xfId="0" applyFont="1" applyFill="1" applyBorder="1" applyAlignment="1">
      <alignment horizontal="left"/>
    </xf>
    <xf numFmtId="0" fontId="77" fillId="20" borderId="65" xfId="0" applyFont="1" applyFill="1" applyBorder="1" applyAlignment="1">
      <alignment horizontal="left"/>
    </xf>
    <xf numFmtId="0" fontId="63" fillId="20" borderId="66" xfId="0" applyFont="1" applyFill="1" applyBorder="1"/>
    <xf numFmtId="0" fontId="63" fillId="20" borderId="63" xfId="0" applyFont="1" applyFill="1" applyBorder="1"/>
    <xf numFmtId="0" fontId="63" fillId="20" borderId="63" xfId="0" applyFont="1" applyFill="1" applyBorder="1" applyAlignment="1">
      <alignment horizontal="center"/>
    </xf>
    <xf numFmtId="0" fontId="63" fillId="20" borderId="67" xfId="0" applyFont="1" applyFill="1" applyBorder="1" applyAlignment="1">
      <alignment horizontal="center"/>
    </xf>
    <xf numFmtId="0" fontId="64" fillId="13" borderId="70" xfId="0" applyFont="1" applyFill="1" applyBorder="1" applyAlignment="1">
      <alignment wrapText="1"/>
    </xf>
    <xf numFmtId="0" fontId="64" fillId="0" borderId="70" xfId="0" applyFont="1" applyBorder="1" applyAlignment="1">
      <alignment wrapText="1"/>
    </xf>
    <xf numFmtId="0" fontId="43" fillId="9" borderId="55" xfId="4" applyNumberFormat="1" applyFont="1" applyFill="1" applyBorder="1" applyAlignment="1">
      <alignment horizontal="center" vertical="center" wrapText="1"/>
    </xf>
    <xf numFmtId="164" fontId="43" fillId="9" borderId="56" xfId="4" applyNumberFormat="1" applyFont="1" applyFill="1" applyBorder="1" applyAlignment="1">
      <alignment vertical="center"/>
    </xf>
    <xf numFmtId="169" fontId="43" fillId="9" borderId="55" xfId="4" applyNumberFormat="1" applyFont="1" applyFill="1" applyBorder="1" applyAlignment="1">
      <alignment horizontal="center" vertical="center"/>
    </xf>
    <xf numFmtId="169" fontId="42" fillId="7" borderId="58" xfId="4" applyNumberFormat="1" applyFont="1" applyFill="1" applyBorder="1" applyAlignment="1">
      <alignment horizontal="center" vertical="center"/>
    </xf>
    <xf numFmtId="164" fontId="42" fillId="7" borderId="58" xfId="4" applyNumberFormat="1" applyFont="1" applyFill="1" applyBorder="1" applyAlignment="1">
      <alignment horizontal="center" vertical="center" wrapText="1"/>
    </xf>
    <xf numFmtId="164" fontId="43" fillId="7" borderId="60" xfId="4" applyNumberFormat="1" applyFont="1" applyFill="1" applyBorder="1" applyAlignment="1">
      <alignment vertical="center" wrapText="1"/>
    </xf>
    <xf numFmtId="0" fontId="43" fillId="9" borderId="55" xfId="0" applyFont="1" applyFill="1" applyBorder="1" applyAlignment="1">
      <alignment horizontal="left" vertical="center" wrapText="1"/>
    </xf>
    <xf numFmtId="164" fontId="43" fillId="9" borderId="55" xfId="0" applyNumberFormat="1" applyFont="1" applyFill="1" applyBorder="1" applyAlignment="1">
      <alignment horizontal="center" vertical="center" wrapText="1"/>
    </xf>
    <xf numFmtId="164" fontId="5" fillId="9" borderId="55" xfId="4" applyNumberFormat="1" applyFont="1" applyFill="1" applyBorder="1" applyAlignment="1">
      <alignment vertical="center"/>
    </xf>
    <xf numFmtId="169" fontId="42" fillId="9" borderId="55" xfId="4" applyNumberFormat="1" applyFont="1" applyFill="1" applyBorder="1" applyAlignment="1">
      <alignment horizontal="center" vertical="center"/>
    </xf>
    <xf numFmtId="164" fontId="39" fillId="12" borderId="55" xfId="4" applyNumberFormat="1" applyFont="1" applyFill="1" applyBorder="1" applyAlignment="1">
      <alignment vertical="center" wrapText="1"/>
    </xf>
    <xf numFmtId="164" fontId="40" fillId="12" borderId="55" xfId="4" applyNumberFormat="1" applyFont="1" applyFill="1" applyBorder="1" applyAlignment="1">
      <alignment vertical="center" wrapText="1"/>
    </xf>
    <xf numFmtId="164" fontId="40" fillId="12" borderId="55" xfId="4" applyNumberFormat="1" applyFont="1" applyFill="1" applyBorder="1" applyAlignment="1">
      <alignment horizontal="center" vertical="center" wrapText="1"/>
    </xf>
    <xf numFmtId="0" fontId="40" fillId="12" borderId="55" xfId="4" applyNumberFormat="1" applyFont="1" applyFill="1" applyBorder="1" applyAlignment="1">
      <alignment horizontal="center" vertical="center" wrapText="1"/>
    </xf>
    <xf numFmtId="164" fontId="40" fillId="12" borderId="55" xfId="1" applyNumberFormat="1" applyFont="1" applyFill="1" applyBorder="1" applyAlignment="1">
      <alignment vertical="center" wrapText="1"/>
    </xf>
    <xf numFmtId="164" fontId="45" fillId="12" borderId="56" xfId="4" applyNumberFormat="1" applyFont="1" applyFill="1" applyBorder="1" applyAlignment="1">
      <alignment vertical="center"/>
    </xf>
    <xf numFmtId="169" fontId="45" fillId="12" borderId="55" xfId="4" applyNumberFormat="1" applyFont="1" applyFill="1" applyBorder="1" applyAlignment="1">
      <alignment horizontal="center" vertical="center"/>
    </xf>
    <xf numFmtId="164" fontId="40" fillId="12" borderId="59" xfId="4" applyNumberFormat="1" applyFont="1" applyFill="1" applyBorder="1" applyAlignment="1">
      <alignment horizontal="center" vertical="center" wrapText="1"/>
    </xf>
    <xf numFmtId="0" fontId="12" fillId="6" borderId="55" xfId="0" applyFont="1" applyFill="1" applyBorder="1" applyAlignment="1">
      <alignment horizontal="center" vertical="center" wrapText="1"/>
    </xf>
    <xf numFmtId="164" fontId="9" fillId="6" borderId="55" xfId="1" applyNumberFormat="1" applyFont="1" applyFill="1" applyBorder="1" applyAlignment="1">
      <alignment horizontal="center" vertical="center"/>
    </xf>
    <xf numFmtId="0" fontId="13" fillId="0" borderId="55" xfId="0" applyFont="1" applyBorder="1" applyAlignment="1">
      <alignment horizontal="center" vertical="center" wrapText="1"/>
    </xf>
    <xf numFmtId="0" fontId="12" fillId="0" borderId="55" xfId="0" applyFont="1" applyBorder="1" applyAlignment="1">
      <alignment horizontal="center" vertical="center" wrapText="1"/>
    </xf>
    <xf numFmtId="0" fontId="13" fillId="0" borderId="55" xfId="0" applyFont="1" applyBorder="1" applyAlignment="1">
      <alignment horizontal="left" vertical="center" wrapText="1"/>
    </xf>
    <xf numFmtId="3" fontId="13" fillId="0" borderId="55" xfId="0" applyNumberFormat="1" applyFont="1" applyBorder="1" applyAlignment="1">
      <alignment horizontal="right" vertical="center" wrapText="1"/>
    </xf>
    <xf numFmtId="3" fontId="13" fillId="0" borderId="55" xfId="0" applyNumberFormat="1" applyFont="1" applyBorder="1" applyAlignment="1">
      <alignment horizontal="right" vertical="center"/>
    </xf>
    <xf numFmtId="3" fontId="13" fillId="7" borderId="55" xfId="0" quotePrefix="1" applyNumberFormat="1" applyFont="1" applyFill="1" applyBorder="1" applyAlignment="1">
      <alignment horizontal="center" vertical="center" wrapText="1"/>
    </xf>
    <xf numFmtId="164" fontId="8" fillId="0" borderId="55" xfId="1" applyNumberFormat="1" applyFont="1" applyFill="1" applyBorder="1" applyAlignment="1">
      <alignment horizontal="left" vertical="top" wrapText="1"/>
    </xf>
    <xf numFmtId="0" fontId="12" fillId="0" borderId="58" xfId="0" applyFont="1" applyBorder="1" applyAlignment="1">
      <alignment horizontal="center" vertical="center" wrapText="1"/>
    </xf>
    <xf numFmtId="164" fontId="8" fillId="0" borderId="55" xfId="1" applyNumberFormat="1" applyFont="1" applyFill="1" applyBorder="1" applyAlignment="1">
      <alignment horizontal="left" vertical="center" wrapText="1"/>
    </xf>
    <xf numFmtId="0" fontId="13" fillId="0" borderId="58" xfId="0" applyFont="1" applyBorder="1" applyAlignment="1">
      <alignment horizontal="left" vertical="center" wrapText="1"/>
    </xf>
    <xf numFmtId="164" fontId="8" fillId="0" borderId="55" xfId="1" quotePrefix="1" applyNumberFormat="1" applyFont="1" applyFill="1" applyBorder="1" applyAlignment="1">
      <alignment horizontal="left" vertical="center" wrapText="1"/>
    </xf>
    <xf numFmtId="164" fontId="8" fillId="0" borderId="55" xfId="1" quotePrefix="1" applyNumberFormat="1" applyFont="1" applyFill="1" applyBorder="1" applyAlignment="1">
      <alignment horizontal="right" vertical="center" wrapText="1"/>
    </xf>
    <xf numFmtId="3" fontId="13" fillId="0" borderId="55" xfId="0" applyNumberFormat="1" applyFont="1" applyBorder="1" applyAlignment="1">
      <alignment horizontal="center" vertical="center" wrapText="1"/>
    </xf>
    <xf numFmtId="3" fontId="13" fillId="0" borderId="55" xfId="0" applyNumberFormat="1" applyFont="1" applyBorder="1" applyAlignment="1">
      <alignment vertical="center" wrapText="1"/>
    </xf>
    <xf numFmtId="164" fontId="8" fillId="0" borderId="58" xfId="1" quotePrefix="1" applyNumberFormat="1" applyFont="1" applyFill="1" applyBorder="1" applyAlignment="1">
      <alignment vertical="center" wrapText="1"/>
    </xf>
    <xf numFmtId="0" fontId="13" fillId="0" borderId="55" xfId="0" applyFont="1" applyBorder="1" applyAlignment="1">
      <alignment vertical="center" wrapText="1"/>
    </xf>
    <xf numFmtId="3" fontId="25" fillId="0" borderId="55" xfId="3" applyNumberFormat="1" applyFont="1" applyBorder="1" applyAlignment="1">
      <alignment vertical="center"/>
    </xf>
    <xf numFmtId="3" fontId="13" fillId="0" borderId="55" xfId="0" applyNumberFormat="1" applyFont="1" applyBorder="1" applyAlignment="1">
      <alignment vertical="center"/>
    </xf>
    <xf numFmtId="3" fontId="13" fillId="7" borderId="55" xfId="0" quotePrefix="1" applyNumberFormat="1" applyFont="1" applyFill="1" applyBorder="1" applyAlignment="1">
      <alignment horizontal="left" vertical="center" wrapText="1"/>
    </xf>
    <xf numFmtId="0" fontId="13" fillId="0" borderId="55" xfId="0" quotePrefix="1" applyFont="1" applyBorder="1" applyAlignment="1">
      <alignment horizontal="left" vertical="center" wrapText="1"/>
    </xf>
    <xf numFmtId="0" fontId="13" fillId="0" borderId="55" xfId="0" applyFont="1" applyBorder="1" applyAlignment="1">
      <alignment horizontal="left" vertical="top" wrapText="1"/>
    </xf>
    <xf numFmtId="3" fontId="22" fillId="0" borderId="55" xfId="0" applyNumberFormat="1" applyFont="1" applyBorder="1" applyAlignment="1">
      <alignment horizontal="right" vertical="center" readingOrder="1"/>
    </xf>
    <xf numFmtId="3" fontId="12" fillId="0" borderId="55" xfId="0" applyNumberFormat="1" applyFont="1" applyBorder="1" applyAlignment="1">
      <alignment horizontal="right" vertical="center"/>
    </xf>
    <xf numFmtId="164" fontId="8" fillId="0" borderId="55" xfId="1" applyNumberFormat="1" applyFont="1" applyBorder="1" applyAlignment="1">
      <alignment horizontal="center"/>
    </xf>
    <xf numFmtId="3" fontId="40" fillId="14" borderId="55" xfId="6" applyNumberFormat="1" applyFont="1" applyFill="1" applyBorder="1" applyAlignment="1">
      <alignment horizontal="center" vertical="center"/>
    </xf>
    <xf numFmtId="3" fontId="47" fillId="14" borderId="55" xfId="0" applyNumberFormat="1" applyFont="1" applyFill="1" applyBorder="1" applyAlignment="1">
      <alignment horizontal="center" vertical="center"/>
    </xf>
    <xf numFmtId="164" fontId="49" fillId="0" borderId="55" xfId="7" applyNumberFormat="1" applyFont="1" applyFill="1" applyBorder="1" applyAlignment="1">
      <alignment horizontal="left" vertical="center"/>
    </xf>
    <xf numFmtId="164" fontId="40" fillId="0" borderId="55" xfId="7" applyNumberFormat="1" applyFont="1" applyFill="1" applyBorder="1" applyAlignment="1">
      <alignment horizontal="center" vertical="center" wrapText="1"/>
    </xf>
    <xf numFmtId="0" fontId="43" fillId="0" borderId="55" xfId="0" applyFont="1" applyBorder="1" applyAlignment="1">
      <alignment vertical="center"/>
    </xf>
    <xf numFmtId="3" fontId="47" fillId="13" borderId="55" xfId="0" applyNumberFormat="1" applyFont="1" applyFill="1" applyBorder="1" applyAlignment="1">
      <alignment horizontal="right" vertical="center"/>
    </xf>
    <xf numFmtId="164" fontId="43" fillId="0" borderId="55" xfId="6" applyNumberFormat="1" applyFont="1" applyFill="1" applyBorder="1" applyAlignment="1">
      <alignment vertical="center"/>
    </xf>
    <xf numFmtId="3" fontId="43" fillId="0" borderId="55" xfId="6" applyNumberFormat="1" applyFont="1" applyFill="1" applyBorder="1" applyAlignment="1">
      <alignment vertical="center"/>
    </xf>
    <xf numFmtId="172" fontId="48" fillId="0" borderId="55" xfId="9" applyNumberFormat="1" applyFont="1" applyFill="1" applyBorder="1" applyAlignment="1">
      <alignment horizontal="left" vertical="center"/>
    </xf>
    <xf numFmtId="164" fontId="43" fillId="0" borderId="55" xfId="6" applyNumberFormat="1" applyFont="1" applyFill="1" applyBorder="1" applyAlignment="1">
      <alignment vertical="center" wrapText="1"/>
    </xf>
    <xf numFmtId="164" fontId="40" fillId="0" borderId="55" xfId="6" applyNumberFormat="1" applyFont="1" applyFill="1" applyBorder="1" applyAlignment="1">
      <alignment horizontal="center" vertical="center" wrapText="1"/>
    </xf>
    <xf numFmtId="164" fontId="43" fillId="0" borderId="55" xfId="0" applyNumberFormat="1" applyFont="1" applyBorder="1" applyAlignment="1">
      <alignment vertical="center"/>
    </xf>
    <xf numFmtId="0" fontId="43" fillId="13" borderId="55" xfId="0" applyFont="1" applyFill="1" applyBorder="1" applyAlignment="1">
      <alignment vertical="center"/>
    </xf>
    <xf numFmtId="164" fontId="43" fillId="13" borderId="55" xfId="0" applyNumberFormat="1" applyFont="1" applyFill="1" applyBorder="1" applyAlignment="1">
      <alignment vertical="center"/>
    </xf>
    <xf numFmtId="3" fontId="43" fillId="0" borderId="55" xfId="0" applyNumberFormat="1" applyFont="1" applyBorder="1" applyAlignment="1">
      <alignment vertical="center"/>
    </xf>
    <xf numFmtId="0" fontId="48" fillId="0" borderId="55" xfId="0" applyFont="1" applyBorder="1" applyAlignment="1">
      <alignment vertical="center"/>
    </xf>
    <xf numFmtId="0" fontId="43" fillId="0" borderId="55" xfId="0" applyFont="1" applyBorder="1" applyAlignment="1">
      <alignment horizontal="center" vertical="center" wrapText="1"/>
    </xf>
    <xf numFmtId="0" fontId="50" fillId="0" borderId="55" xfId="0" applyFont="1" applyBorder="1" applyAlignment="1">
      <alignment vertical="center"/>
    </xf>
    <xf numFmtId="3" fontId="50" fillId="0" borderId="55" xfId="0" applyNumberFormat="1" applyFont="1" applyBorder="1" applyAlignment="1">
      <alignment vertical="center"/>
    </xf>
    <xf numFmtId="0" fontId="51" fillId="0" borderId="55" xfId="0" applyFont="1" applyBorder="1" applyAlignment="1">
      <alignment vertical="center"/>
    </xf>
    <xf numFmtId="164" fontId="50" fillId="0" borderId="55" xfId="6" applyNumberFormat="1" applyFont="1" applyFill="1" applyBorder="1" applyAlignment="1">
      <alignment vertical="center" wrapText="1"/>
    </xf>
    <xf numFmtId="0" fontId="50" fillId="0" borderId="55" xfId="0" applyFont="1" applyBorder="1" applyAlignment="1">
      <alignment horizontal="center" vertical="center" wrapText="1"/>
    </xf>
    <xf numFmtId="164" fontId="50" fillId="0" borderId="55" xfId="0" applyNumberFormat="1" applyFont="1" applyBorder="1" applyAlignment="1">
      <alignment vertical="center"/>
    </xf>
    <xf numFmtId="164" fontId="50" fillId="13" borderId="55" xfId="1" applyNumberFormat="1" applyFont="1" applyFill="1" applyBorder="1" applyAlignment="1">
      <alignment vertical="center"/>
    </xf>
    <xf numFmtId="0" fontId="43" fillId="15" borderId="55" xfId="0" applyFont="1" applyFill="1" applyBorder="1" applyAlignment="1">
      <alignment vertical="center"/>
    </xf>
    <xf numFmtId="3" fontId="43" fillId="15" borderId="55" xfId="0" applyNumberFormat="1" applyFont="1" applyFill="1" applyBorder="1" applyAlignment="1">
      <alignment vertical="center"/>
    </xf>
    <xf numFmtId="0" fontId="48" fillId="15" borderId="55" xfId="0" applyFont="1" applyFill="1" applyBorder="1" applyAlignment="1">
      <alignment vertical="center"/>
    </xf>
    <xf numFmtId="0" fontId="43" fillId="15" borderId="55" xfId="0" applyFont="1" applyFill="1" applyBorder="1" applyAlignment="1">
      <alignment vertical="center" wrapText="1"/>
    </xf>
    <xf numFmtId="0" fontId="43" fillId="15" borderId="55" xfId="0" applyFont="1" applyFill="1" applyBorder="1" applyAlignment="1">
      <alignment horizontal="center" vertical="center" wrapText="1"/>
    </xf>
    <xf numFmtId="164" fontId="43" fillId="15" borderId="55" xfId="0" applyNumberFormat="1" applyFont="1" applyFill="1" applyBorder="1" applyAlignment="1">
      <alignment vertical="center"/>
    </xf>
    <xf numFmtId="0" fontId="48" fillId="0" borderId="55" xfId="0" applyFont="1" applyBorder="1" applyAlignment="1">
      <alignment vertical="center" wrapText="1"/>
    </xf>
    <xf numFmtId="0" fontId="43" fillId="0" borderId="55" xfId="0" applyFont="1" applyBorder="1" applyAlignment="1">
      <alignment vertical="center" wrapText="1"/>
    </xf>
    <xf numFmtId="0" fontId="51" fillId="0" borderId="55" xfId="0" applyFont="1" applyBorder="1" applyAlignment="1">
      <alignment vertical="center" wrapText="1"/>
    </xf>
    <xf numFmtId="164" fontId="50" fillId="13" borderId="55" xfId="0" applyNumberFormat="1" applyFont="1" applyFill="1" applyBorder="1" applyAlignment="1">
      <alignment vertical="center"/>
    </xf>
    <xf numFmtId="0" fontId="50" fillId="13" borderId="55" xfId="0" applyFont="1" applyFill="1" applyBorder="1" applyAlignment="1">
      <alignment vertical="center"/>
    </xf>
    <xf numFmtId="3" fontId="36" fillId="0" borderId="55" xfId="6" applyNumberFormat="1" applyFont="1" applyFill="1" applyBorder="1" applyAlignment="1">
      <alignment vertical="center"/>
    </xf>
    <xf numFmtId="164" fontId="48" fillId="0" borderId="55" xfId="6" applyNumberFormat="1" applyFont="1" applyFill="1" applyBorder="1" applyAlignment="1">
      <alignment vertical="center"/>
    </xf>
    <xf numFmtId="0" fontId="53" fillId="0" borderId="55" xfId="0" applyFont="1" applyBorder="1" applyAlignment="1">
      <alignment vertical="center"/>
    </xf>
    <xf numFmtId="3" fontId="54" fillId="0" borderId="55" xfId="6" applyNumberFormat="1" applyFont="1" applyFill="1" applyBorder="1" applyAlignment="1">
      <alignment vertical="center"/>
    </xf>
    <xf numFmtId="164" fontId="51" fillId="0" borderId="55" xfId="6" applyNumberFormat="1" applyFont="1" applyFill="1" applyBorder="1" applyAlignment="1">
      <alignment vertical="center"/>
    </xf>
    <xf numFmtId="0" fontId="53" fillId="0" borderId="55" xfId="0" applyFont="1" applyBorder="1" applyAlignment="1">
      <alignment vertical="center" wrapText="1"/>
    </xf>
    <xf numFmtId="0" fontId="53" fillId="0" borderId="55" xfId="0" applyFont="1" applyBorder="1" applyAlignment="1">
      <alignment horizontal="center" vertical="center" wrapText="1"/>
    </xf>
    <xf numFmtId="164" fontId="53" fillId="0" borderId="55" xfId="0" applyNumberFormat="1" applyFont="1" applyBorder="1" applyAlignment="1">
      <alignment vertical="center"/>
    </xf>
    <xf numFmtId="164" fontId="56" fillId="13" borderId="55" xfId="0" applyNumberFormat="1" applyFont="1" applyFill="1" applyBorder="1" applyAlignment="1">
      <alignment vertical="center"/>
    </xf>
    <xf numFmtId="164" fontId="43" fillId="7" borderId="55" xfId="0" applyNumberFormat="1" applyFont="1" applyFill="1" applyBorder="1" applyAlignment="1">
      <alignment vertical="center"/>
    </xf>
    <xf numFmtId="164" fontId="36" fillId="0" borderId="55" xfId="6" applyNumberFormat="1" applyFont="1" applyFill="1" applyBorder="1" applyAlignment="1">
      <alignment vertical="center"/>
    </xf>
    <xf numFmtId="164" fontId="36" fillId="0" borderId="55" xfId="1" applyNumberFormat="1" applyFont="1" applyFill="1" applyBorder="1" applyAlignment="1">
      <alignment horizontal="center" vertical="center"/>
    </xf>
    <xf numFmtId="164" fontId="43" fillId="0" borderId="55" xfId="1" applyNumberFormat="1" applyFont="1" applyFill="1" applyBorder="1" applyAlignment="1">
      <alignment vertical="center"/>
    </xf>
    <xf numFmtId="3" fontId="40" fillId="0" borderId="55" xfId="0" applyNumberFormat="1" applyFont="1" applyBorder="1" applyAlignment="1">
      <alignment vertical="center"/>
    </xf>
    <xf numFmtId="0" fontId="43" fillId="7" borderId="55" xfId="0" applyFont="1" applyFill="1" applyBorder="1" applyAlignment="1">
      <alignment vertical="center"/>
    </xf>
    <xf numFmtId="3" fontId="57" fillId="7" borderId="55" xfId="6" applyNumberFormat="1" applyFont="1" applyFill="1" applyBorder="1" applyAlignment="1">
      <alignment horizontal="left" vertical="center"/>
    </xf>
    <xf numFmtId="3" fontId="43" fillId="7" borderId="55" xfId="0" applyNumberFormat="1" applyFont="1" applyFill="1" applyBorder="1" applyAlignment="1">
      <alignment vertical="center"/>
    </xf>
    <xf numFmtId="0" fontId="48" fillId="7" borderId="55" xfId="0" applyFont="1" applyFill="1" applyBorder="1" applyAlignment="1">
      <alignment vertical="center"/>
    </xf>
    <xf numFmtId="0" fontId="43" fillId="7" borderId="55" xfId="0" applyFont="1" applyFill="1" applyBorder="1" applyAlignment="1">
      <alignment vertical="center" wrapText="1"/>
    </xf>
    <xf numFmtId="0" fontId="43" fillId="7" borderId="55" xfId="0" applyFont="1" applyFill="1" applyBorder="1" applyAlignment="1">
      <alignment horizontal="center" vertical="center" wrapText="1"/>
    </xf>
    <xf numFmtId="0" fontId="43" fillId="17" borderId="55" xfId="0" applyFont="1" applyFill="1" applyBorder="1" applyAlignment="1">
      <alignment vertical="center" wrapText="1"/>
    </xf>
    <xf numFmtId="0" fontId="59" fillId="0" borderId="55" xfId="0" applyFont="1" applyBorder="1" applyAlignment="1">
      <alignment vertical="center"/>
    </xf>
    <xf numFmtId="3" fontId="59" fillId="0" borderId="55" xfId="0" applyNumberFormat="1" applyFont="1" applyBorder="1" applyAlignment="1">
      <alignment vertical="center"/>
    </xf>
    <xf numFmtId="0" fontId="60" fillId="0" borderId="55" xfId="0" applyFont="1" applyBorder="1" applyAlignment="1">
      <alignment vertical="center"/>
    </xf>
    <xf numFmtId="0" fontId="59" fillId="0" borderId="55" xfId="0" applyFont="1" applyBorder="1" applyAlignment="1">
      <alignment vertical="center" wrapText="1"/>
    </xf>
    <xf numFmtId="0" fontId="59" fillId="0" borderId="55" xfId="0" applyFont="1" applyBorder="1" applyAlignment="1">
      <alignment horizontal="center" vertical="center" wrapText="1"/>
    </xf>
    <xf numFmtId="164" fontId="59" fillId="0" borderId="55" xfId="0" applyNumberFormat="1" applyFont="1" applyBorder="1" applyAlignment="1">
      <alignment vertical="center"/>
    </xf>
    <xf numFmtId="164" fontId="59" fillId="13" borderId="55" xfId="0" applyNumberFormat="1" applyFont="1" applyFill="1" applyBorder="1" applyAlignment="1">
      <alignment vertical="center"/>
    </xf>
    <xf numFmtId="0" fontId="59" fillId="13" borderId="55" xfId="0" applyFont="1" applyFill="1" applyBorder="1" applyAlignment="1">
      <alignment vertical="center"/>
    </xf>
    <xf numFmtId="0" fontId="8" fillId="2" borderId="0" xfId="0" applyFont="1" applyFill="1" applyAlignment="1">
      <alignment wrapText="1"/>
    </xf>
    <xf numFmtId="0" fontId="0" fillId="0" borderId="0" xfId="0"/>
    <xf numFmtId="0" fontId="9" fillId="0" borderId="0" xfId="0" applyFont="1" applyAlignment="1">
      <alignment wrapText="1"/>
    </xf>
    <xf numFmtId="0" fontId="14" fillId="0" borderId="3" xfId="0" applyFont="1" applyBorder="1" applyAlignment="1">
      <alignment horizontal="left" vertical="top" wrapText="1"/>
    </xf>
    <xf numFmtId="0" fontId="15" fillId="0" borderId="4" xfId="0" applyFont="1" applyBorder="1"/>
    <xf numFmtId="0" fontId="15" fillId="0" borderId="5" xfId="0" applyFont="1" applyBorder="1"/>
    <xf numFmtId="0" fontId="14" fillId="0" borderId="3" xfId="0" applyFont="1" applyBorder="1" applyAlignment="1">
      <alignment horizontal="left" wrapText="1"/>
    </xf>
    <xf numFmtId="0" fontId="13" fillId="0" borderId="4" xfId="0" applyFont="1" applyBorder="1" applyAlignment="1">
      <alignment horizontal="center" vertical="top" wrapText="1"/>
    </xf>
    <xf numFmtId="0" fontId="12" fillId="0" borderId="4" xfId="0" applyFont="1" applyBorder="1" applyAlignment="1">
      <alignment horizontal="center" vertical="top" wrapText="1"/>
    </xf>
    <xf numFmtId="0" fontId="63" fillId="22" borderId="37" xfId="0" applyFont="1" applyFill="1" applyBorder="1" applyAlignment="1">
      <alignment horizontal="center"/>
    </xf>
    <xf numFmtId="0" fontId="63" fillId="22" borderId="35" xfId="0" applyFont="1" applyFill="1" applyBorder="1" applyAlignment="1">
      <alignment horizontal="center"/>
    </xf>
    <xf numFmtId="0" fontId="63" fillId="22" borderId="36" xfId="0" applyFont="1" applyFill="1" applyBorder="1" applyAlignment="1">
      <alignment horizontal="center"/>
    </xf>
    <xf numFmtId="0" fontId="63" fillId="20" borderId="68" xfId="0" applyFont="1" applyFill="1" applyBorder="1" applyAlignment="1">
      <alignment horizontal="center"/>
    </xf>
    <xf numFmtId="0" fontId="0" fillId="20" borderId="0" xfId="0" applyFill="1"/>
    <xf numFmtId="0" fontId="63" fillId="20" borderId="69" xfId="0" applyFont="1" applyFill="1" applyBorder="1" applyAlignment="1">
      <alignment horizontal="center"/>
    </xf>
    <xf numFmtId="0" fontId="63" fillId="20" borderId="65" xfId="0" applyFont="1" applyFill="1" applyBorder="1" applyAlignment="1">
      <alignment horizontal="center"/>
    </xf>
    <xf numFmtId="0" fontId="0" fillId="20" borderId="27" xfId="0" applyFill="1" applyBorder="1"/>
    <xf numFmtId="0" fontId="63" fillId="22" borderId="34" xfId="0" applyFont="1" applyFill="1" applyBorder="1" applyAlignment="1">
      <alignment horizontal="center"/>
    </xf>
    <xf numFmtId="0" fontId="19" fillId="0" borderId="56" xfId="0" applyFont="1" applyBorder="1" applyAlignment="1">
      <alignment horizontal="center"/>
    </xf>
    <xf numFmtId="0" fontId="19" fillId="0" borderId="57" xfId="0" applyFont="1" applyBorder="1" applyAlignment="1">
      <alignment horizontal="center"/>
    </xf>
    <xf numFmtId="0" fontId="20" fillId="0" borderId="0" xfId="0" applyFont="1" applyAlignment="1">
      <alignment horizontal="left" wrapText="1"/>
    </xf>
    <xf numFmtId="0" fontId="19" fillId="0" borderId="55" xfId="0" applyFont="1" applyBorder="1" applyAlignment="1">
      <alignment horizontal="center" vertical="center"/>
    </xf>
    <xf numFmtId="0" fontId="19" fillId="0" borderId="56" xfId="0" applyFont="1" applyBorder="1" applyAlignment="1">
      <alignment horizontal="center" vertical="center"/>
    </xf>
    <xf numFmtId="0" fontId="19" fillId="0" borderId="57" xfId="0" applyFont="1" applyBorder="1" applyAlignment="1">
      <alignment horizontal="center" vertical="center"/>
    </xf>
    <xf numFmtId="0" fontId="31" fillId="0" borderId="0" xfId="0" applyFont="1" applyAlignment="1">
      <alignment horizontal="center"/>
    </xf>
    <xf numFmtId="0" fontId="32" fillId="0" borderId="55" xfId="0" applyFont="1" applyBorder="1" applyAlignment="1">
      <alignment horizontal="right"/>
    </xf>
    <xf numFmtId="0" fontId="0" fillId="0" borderId="57" xfId="0" applyBorder="1"/>
    <xf numFmtId="0" fontId="0" fillId="0" borderId="59" xfId="0" applyBorder="1"/>
    <xf numFmtId="0" fontId="40" fillId="7" borderId="14" xfId="0" applyFont="1" applyFill="1" applyBorder="1" applyAlignment="1">
      <alignment horizontal="left" vertical="center" wrapText="1"/>
    </xf>
    <xf numFmtId="0" fontId="40" fillId="7" borderId="15" xfId="0" applyFont="1" applyFill="1" applyBorder="1" applyAlignment="1">
      <alignment horizontal="left" vertical="center" wrapText="1"/>
    </xf>
    <xf numFmtId="0" fontId="40" fillId="7" borderId="16" xfId="0" applyFont="1" applyFill="1" applyBorder="1" applyAlignment="1">
      <alignment horizontal="left" vertical="center" wrapText="1"/>
    </xf>
    <xf numFmtId="0" fontId="40" fillId="7" borderId="61" xfId="0" applyFont="1" applyFill="1" applyBorder="1" applyAlignment="1">
      <alignment horizontal="left" vertical="center" wrapText="1"/>
    </xf>
    <xf numFmtId="0" fontId="43" fillId="7" borderId="18" xfId="0" applyFont="1" applyFill="1" applyBorder="1" applyAlignment="1">
      <alignment horizontal="left" vertical="center" wrapText="1"/>
    </xf>
    <xf numFmtId="0" fontId="43" fillId="7" borderId="60" xfId="0" applyFont="1" applyFill="1" applyBorder="1" applyAlignment="1">
      <alignment horizontal="left" vertical="center" wrapText="1"/>
    </xf>
    <xf numFmtId="164" fontId="38" fillId="0" borderId="1" xfId="4" applyNumberFormat="1" applyFont="1" applyAlignment="1">
      <alignment horizontal="center" vertical="center" wrapText="1"/>
    </xf>
    <xf numFmtId="164" fontId="39" fillId="10" borderId="55" xfId="4" applyNumberFormat="1" applyFont="1" applyFill="1" applyBorder="1" applyAlignment="1">
      <alignment horizontal="center" vertical="center" wrapText="1"/>
    </xf>
    <xf numFmtId="164" fontId="40" fillId="10" borderId="55" xfId="4" applyNumberFormat="1" applyFont="1" applyFill="1" applyBorder="1" applyAlignment="1">
      <alignment horizontal="center" vertical="center" wrapText="1"/>
    </xf>
    <xf numFmtId="164" fontId="40" fillId="10" borderId="58" xfId="4" applyNumberFormat="1" applyFont="1" applyFill="1" applyBorder="1" applyAlignment="1">
      <alignment horizontal="center" vertical="center" wrapText="1"/>
    </xf>
    <xf numFmtId="168" fontId="40" fillId="7" borderId="56" xfId="5" applyNumberFormat="1" applyFont="1" applyFill="1" applyBorder="1" applyAlignment="1">
      <alignment horizontal="center" vertical="center" wrapText="1"/>
    </xf>
    <xf numFmtId="168" fontId="40" fillId="7" borderId="57" xfId="5" applyNumberFormat="1" applyFont="1" applyFill="1" applyBorder="1" applyAlignment="1">
      <alignment horizontal="center" vertical="center" wrapText="1"/>
    </xf>
    <xf numFmtId="168" fontId="40" fillId="7" borderId="59" xfId="5" applyNumberFormat="1" applyFont="1" applyFill="1" applyBorder="1" applyAlignment="1">
      <alignment horizontal="center" vertical="center" wrapText="1"/>
    </xf>
    <xf numFmtId="164" fontId="40" fillId="7" borderId="10" xfId="4" applyNumberFormat="1" applyFont="1" applyFill="1" applyBorder="1" applyAlignment="1">
      <alignment horizontal="left" vertical="center" wrapText="1"/>
    </xf>
    <xf numFmtId="164" fontId="40" fillId="7" borderId="11" xfId="4" applyNumberFormat="1" applyFont="1" applyFill="1" applyBorder="1" applyAlignment="1">
      <alignment horizontal="left" vertical="center" wrapText="1"/>
    </xf>
    <xf numFmtId="164" fontId="40" fillId="7" borderId="12" xfId="4" applyNumberFormat="1" applyFont="1" applyFill="1" applyBorder="1" applyAlignment="1">
      <alignment horizontal="left" vertical="center" wrapText="1"/>
    </xf>
    <xf numFmtId="164" fontId="40" fillId="7" borderId="14" xfId="4" applyNumberFormat="1" applyFont="1" applyFill="1" applyBorder="1" applyAlignment="1">
      <alignment horizontal="left" vertical="center" wrapText="1"/>
    </xf>
    <xf numFmtId="164" fontId="40" fillId="7" borderId="15" xfId="4" applyNumberFormat="1" applyFont="1" applyFill="1" applyBorder="1" applyAlignment="1">
      <alignment horizontal="left" vertical="center" wrapText="1"/>
    </xf>
    <xf numFmtId="164" fontId="40" fillId="7" borderId="16" xfId="4" applyNumberFormat="1" applyFont="1" applyFill="1" applyBorder="1" applyAlignment="1">
      <alignment horizontal="left" vertical="center" wrapText="1"/>
    </xf>
    <xf numFmtId="0" fontId="12" fillId="0" borderId="58" xfId="0" applyFont="1" applyBorder="1" applyAlignment="1">
      <alignment horizontal="left" vertical="center" wrapText="1"/>
    </xf>
    <xf numFmtId="0" fontId="12" fillId="0" borderId="7" xfId="0" applyFont="1" applyBorder="1" applyAlignment="1">
      <alignment horizontal="left" vertical="center" wrapText="1"/>
    </xf>
    <xf numFmtId="0" fontId="9" fillId="0" borderId="0" xfId="0" applyFont="1" applyAlignment="1">
      <alignment horizontal="left"/>
    </xf>
    <xf numFmtId="0" fontId="23" fillId="0" borderId="0" xfId="0" applyFont="1" applyAlignment="1">
      <alignment horizontal="center"/>
    </xf>
    <xf numFmtId="0" fontId="0" fillId="0" borderId="0" xfId="0" applyAlignment="1">
      <alignment horizontal="center"/>
    </xf>
    <xf numFmtId="0" fontId="12" fillId="0" borderId="5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7" xfId="0" applyFont="1" applyBorder="1" applyAlignment="1">
      <alignment horizontal="center" vertical="center" wrapText="1"/>
    </xf>
    <xf numFmtId="164" fontId="8" fillId="0" borderId="58" xfId="1" quotePrefix="1" applyNumberFormat="1" applyFont="1" applyFill="1" applyBorder="1" applyAlignment="1">
      <alignment horizontal="left" vertical="center" wrapText="1"/>
    </xf>
    <xf numFmtId="164" fontId="8" fillId="0" borderId="9" xfId="1" quotePrefix="1" applyNumberFormat="1" applyFont="1" applyFill="1" applyBorder="1" applyAlignment="1">
      <alignment horizontal="left" vertical="center" wrapText="1"/>
    </xf>
    <xf numFmtId="164" fontId="8" fillId="0" borderId="7" xfId="1" quotePrefix="1" applyNumberFormat="1" applyFont="1" applyFill="1" applyBorder="1" applyAlignment="1">
      <alignment horizontal="left" vertical="center" wrapText="1"/>
    </xf>
    <xf numFmtId="0" fontId="12" fillId="0" borderId="55" xfId="0" applyFont="1" applyBorder="1" applyAlignment="1">
      <alignment horizontal="center" vertical="center" wrapText="1"/>
    </xf>
    <xf numFmtId="0" fontId="13" fillId="0" borderId="58" xfId="0" applyFont="1" applyBorder="1" applyAlignment="1">
      <alignment horizontal="left" vertical="center" wrapText="1"/>
    </xf>
    <xf numFmtId="0" fontId="13" fillId="0" borderId="7" xfId="0" applyFont="1" applyBorder="1" applyAlignment="1">
      <alignment horizontal="left" vertical="center" wrapText="1"/>
    </xf>
    <xf numFmtId="0" fontId="9" fillId="0" borderId="0" xfId="0" applyFont="1" applyAlignment="1">
      <alignment horizontal="center"/>
    </xf>
    <xf numFmtId="3" fontId="13" fillId="7" borderId="58" xfId="0" quotePrefix="1" applyNumberFormat="1" applyFont="1" applyFill="1" applyBorder="1" applyAlignment="1">
      <alignment horizontal="center" vertical="center" wrapText="1"/>
    </xf>
    <xf numFmtId="3" fontId="13" fillId="7" borderId="7" xfId="0" quotePrefix="1" applyNumberFormat="1" applyFont="1" applyFill="1" applyBorder="1" applyAlignment="1">
      <alignment horizontal="center" vertical="center" wrapText="1"/>
    </xf>
    <xf numFmtId="0" fontId="12" fillId="0" borderId="55" xfId="0" applyFont="1" applyBorder="1" applyAlignment="1">
      <alignment horizontal="center" vertical="center"/>
    </xf>
    <xf numFmtId="0" fontId="8" fillId="0" borderId="0" xfId="0" applyFont="1" applyAlignment="1">
      <alignment horizontal="center"/>
    </xf>
  </cellXfs>
  <cellStyles count="11">
    <cellStyle name="Comma" xfId="1" builtinId="3"/>
    <cellStyle name="Comma [0]" xfId="2" builtinId="6"/>
    <cellStyle name="Comma [0] 2 7 2" xfId="5" xr:uid="{9CC63219-4795-2946-9445-64BB9F535DA7}"/>
    <cellStyle name="Comma 100" xfId="4" xr:uid="{0BDD46C1-4D76-F544-95F7-94478DF4C189}"/>
    <cellStyle name="Comma 100 2 2" xfId="6" xr:uid="{643F8DFE-C39A-6649-A2E8-82CF3BCF14F3}"/>
    <cellStyle name="Comma 123 2" xfId="8" xr:uid="{29A7BC7F-E0B9-C44D-9C8A-E2EEC171A399}"/>
    <cellStyle name="Comma 2 2 2 2 8" xfId="7" xr:uid="{B66F15FC-1450-DA43-83DE-44D1BC66E405}"/>
    <cellStyle name="Normal" xfId="0" builtinId="0"/>
    <cellStyle name="Normal 2" xfId="3" xr:uid="{2C20BE3C-11AF-3043-BEF3-034301E0BC6E}"/>
    <cellStyle name="Normal 2 2 34 2" xfId="10" xr:uid="{E495D6D5-AF29-9244-B4BA-6A0190F61F34}"/>
    <cellStyle name="Percent 3 2 9" xfId="9" xr:uid="{3443D8D4-B824-C34F-BAF5-19F1EE9061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iptorg.sharepoint.com/Shared%20Documents/00%20DOCs/05%20BUDGET,%20PLAN,%20KPI/BUDGET%202026/IT.2026.%20BUDGET%20PLANNING.xlsx" TargetMode="External"/><Relationship Id="rId1" Type="http://schemas.openxmlformats.org/officeDocument/2006/relationships/externalLinkPath" Target="https://maiptorg.sharepoint.com/Shared%20Documents/00%20DOCs/05%20BUDGET,%20PLAN,%20KPI/BUDGET%202026/IT.2026.%20BUDGET%20PLANN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ata%20Hiendtt/KE%20TOAN%20THANH%20TOAN/BAO%20CAO/BUDGET%202026/BUDGET%20Expenses%202026_TTTM%20The%20Garden_Hi&#7873;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G2026"/>
      <sheetName val="Units"/>
      <sheetName val="JSC"/>
      <sheetName val="BFT"/>
      <sheetName val="BFT_Details"/>
      <sheetName val="BFT2025"/>
      <sheetName val="TheGarden"/>
      <sheetName val="Sheet1"/>
      <sheetName val="BHMC"/>
      <sheetName val="DETAILS"/>
    </sheetNames>
    <sheetDataSet>
      <sheetData sheetId="0"/>
      <sheetData sheetId="1"/>
      <sheetData sheetId="2"/>
      <sheetData sheetId="3">
        <row r="41">
          <cell r="K41">
            <v>3608</v>
          </cell>
        </row>
      </sheetData>
      <sheetData sheetId="4"/>
      <sheetData sheetId="5"/>
      <sheetData sheetId="6">
        <row r="49">
          <cell r="D49">
            <v>3176.74</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MKT"/>
      <sheetName val="HR"/>
      <sheetName val="OP"/>
      <sheetName val="Design"/>
      <sheetName val="I.T"/>
      <sheetName val="chi tiết IT 2026"/>
      <sheetName val="pbcp 2026. est 10 BMTL + All"/>
      <sheetName val="KHTS 2026. es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15">
          <cell r="O315">
            <v>205326</v>
          </cell>
          <cell r="P315">
            <v>205326</v>
          </cell>
          <cell r="Q315">
            <v>205326</v>
          </cell>
          <cell r="R315">
            <v>205326</v>
          </cell>
          <cell r="S315">
            <v>205326</v>
          </cell>
          <cell r="T315">
            <v>205326</v>
          </cell>
          <cell r="U315">
            <v>205326</v>
          </cell>
          <cell r="V315">
            <v>205326</v>
          </cell>
          <cell r="W315">
            <v>205326</v>
          </cell>
          <cell r="X315">
            <v>205320</v>
          </cell>
          <cell r="Y315">
            <v>0</v>
          </cell>
          <cell r="Z315">
            <v>0</v>
          </cell>
        </row>
        <row r="316">
          <cell r="O316">
            <v>200847</v>
          </cell>
          <cell r="P316">
            <v>200847</v>
          </cell>
          <cell r="Q316">
            <v>200847</v>
          </cell>
          <cell r="R316">
            <v>200847</v>
          </cell>
          <cell r="S316">
            <v>200847</v>
          </cell>
          <cell r="T316">
            <v>200847</v>
          </cell>
          <cell r="U316">
            <v>200847</v>
          </cell>
          <cell r="V316">
            <v>200847</v>
          </cell>
          <cell r="W316">
            <v>200847</v>
          </cell>
          <cell r="X316">
            <v>200847</v>
          </cell>
          <cell r="Y316">
            <v>200847</v>
          </cell>
          <cell r="Z316">
            <v>200847</v>
          </cell>
        </row>
        <row r="317">
          <cell r="O317">
            <v>875000</v>
          </cell>
          <cell r="P317">
            <v>875000</v>
          </cell>
          <cell r="Q317">
            <v>875000</v>
          </cell>
          <cell r="R317">
            <v>875000</v>
          </cell>
        </row>
      </sheetData>
      <sheetData sheetId="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979"/>
  <sheetViews>
    <sheetView tabSelected="1" workbookViewId="0">
      <pane xSplit="2" ySplit="10" topLeftCell="AE19" activePane="bottomRight" state="frozen"/>
      <selection pane="topRight" activeCell="C1" sqref="C1"/>
      <selection pane="bottomLeft" activeCell="A11" sqref="A11"/>
      <selection pane="bottomRight" sqref="A1:XFD1048576"/>
    </sheetView>
  </sheetViews>
  <sheetFormatPr baseColWidth="10" defaultColWidth="14.5" defaultRowHeight="15" customHeight="1"/>
  <cols>
    <col min="1" max="1" width="5.5" style="40" customWidth="1"/>
    <col min="2" max="2" width="45.1640625" customWidth="1"/>
    <col min="3" max="4" width="35.83203125" customWidth="1"/>
    <col min="5" max="5" width="0.5" customWidth="1"/>
    <col min="6" max="32" width="9.83203125" customWidth="1"/>
    <col min="33" max="33" width="21.5" customWidth="1"/>
    <col min="34" max="34" width="22.5" customWidth="1"/>
    <col min="35" max="35" width="22.1640625" style="73" customWidth="1"/>
    <col min="36" max="60" width="16.5" customWidth="1"/>
  </cols>
  <sheetData>
    <row r="1" spans="1:60" ht="14.25" customHeight="1">
      <c r="A1" s="38" t="s">
        <v>0</v>
      </c>
      <c r="AJ1" s="2"/>
      <c r="AK1" s="2"/>
      <c r="AL1" s="2"/>
      <c r="AM1" s="2"/>
      <c r="AN1" s="2"/>
      <c r="AO1" s="2"/>
      <c r="AP1" s="2"/>
      <c r="AQ1" s="2"/>
      <c r="AR1" s="2"/>
      <c r="AS1" s="2"/>
      <c r="AT1" s="2"/>
    </row>
    <row r="2" spans="1:60" ht="9" customHeight="1">
      <c r="A2" s="38"/>
      <c r="B2" s="3" t="s">
        <v>1</v>
      </c>
      <c r="C2" s="1" t="s">
        <v>2</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74"/>
      <c r="AJ2" s="5"/>
      <c r="AK2" s="5"/>
      <c r="AL2" s="5"/>
      <c r="AM2" s="5"/>
      <c r="AN2" s="5"/>
      <c r="AO2" s="5"/>
      <c r="AP2" s="5"/>
      <c r="AQ2" s="5"/>
      <c r="AR2" s="5"/>
      <c r="AS2" s="5"/>
      <c r="AT2" s="5"/>
      <c r="AU2" s="4"/>
      <c r="AV2" s="4"/>
      <c r="AW2" s="4"/>
      <c r="AX2" s="4"/>
      <c r="AY2" s="4"/>
      <c r="AZ2" s="4"/>
      <c r="BA2" s="4"/>
      <c r="BB2" s="4"/>
      <c r="BC2" s="4"/>
      <c r="BD2" s="4"/>
      <c r="BE2" s="4"/>
      <c r="BF2" s="4"/>
      <c r="BG2" s="4"/>
      <c r="BH2" s="4"/>
    </row>
    <row r="3" spans="1:60" ht="9" customHeight="1">
      <c r="A3" s="38"/>
      <c r="B3" s="6" t="s">
        <v>3</v>
      </c>
      <c r="C3" s="7" t="s">
        <v>4</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74"/>
      <c r="AJ3" s="5"/>
      <c r="AK3" s="5"/>
      <c r="AL3" s="5"/>
      <c r="AM3" s="5"/>
      <c r="AN3" s="5"/>
      <c r="AO3" s="5"/>
      <c r="AP3" s="5"/>
      <c r="AQ3" s="5"/>
      <c r="AR3" s="5"/>
      <c r="AS3" s="5"/>
      <c r="AT3" s="5"/>
      <c r="AU3" s="4"/>
      <c r="AV3" s="4"/>
      <c r="AW3" s="4"/>
      <c r="AX3" s="4"/>
      <c r="AY3" s="4"/>
      <c r="AZ3" s="4"/>
      <c r="BA3" s="4"/>
      <c r="BB3" s="4"/>
      <c r="BC3" s="4"/>
      <c r="BD3" s="4"/>
      <c r="BE3" s="4"/>
      <c r="BF3" s="4"/>
      <c r="BG3" s="4"/>
      <c r="BH3" s="4"/>
    </row>
    <row r="4" spans="1:60" ht="9" customHeight="1">
      <c r="A4" s="38"/>
      <c r="B4" s="8" t="s">
        <v>5</v>
      </c>
      <c r="C4" s="1" t="s">
        <v>6</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74"/>
      <c r="AJ4" s="5"/>
      <c r="AK4" s="5"/>
      <c r="AL4" s="5"/>
      <c r="AM4" s="5"/>
      <c r="AN4" s="5"/>
      <c r="AO4" s="5"/>
      <c r="AP4" s="5"/>
      <c r="AQ4" s="5"/>
      <c r="AR4" s="5"/>
      <c r="AS4" s="5"/>
      <c r="AT4" s="5"/>
      <c r="AU4" s="4"/>
      <c r="AV4" s="4"/>
      <c r="AW4" s="4"/>
      <c r="AX4" s="4"/>
      <c r="AY4" s="4"/>
      <c r="AZ4" s="4"/>
      <c r="BA4" s="4"/>
      <c r="BB4" s="4"/>
      <c r="BC4" s="4"/>
      <c r="BD4" s="4"/>
      <c r="BE4" s="4"/>
      <c r="BF4" s="4"/>
      <c r="BG4" s="4"/>
      <c r="BH4" s="4"/>
    </row>
    <row r="5" spans="1:60" ht="9" customHeight="1">
      <c r="A5" s="38"/>
      <c r="B5" s="6" t="s">
        <v>7</v>
      </c>
      <c r="C5" s="7" t="s">
        <v>8</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74"/>
      <c r="AJ5" s="5"/>
      <c r="AK5" s="5"/>
      <c r="AL5" s="5"/>
      <c r="AM5" s="5"/>
      <c r="AN5" s="5"/>
      <c r="AO5" s="5"/>
      <c r="AP5" s="5"/>
      <c r="AQ5" s="5"/>
      <c r="AR5" s="5"/>
      <c r="AS5" s="5"/>
      <c r="AT5" s="5"/>
      <c r="AU5" s="4"/>
      <c r="AV5" s="4"/>
      <c r="AW5" s="4"/>
      <c r="AX5" s="4"/>
      <c r="AY5" s="4"/>
      <c r="AZ5" s="4"/>
      <c r="BA5" s="4"/>
      <c r="BB5" s="4"/>
      <c r="BC5" s="4"/>
      <c r="BD5" s="4"/>
      <c r="BE5" s="4"/>
      <c r="BF5" s="4"/>
      <c r="BG5" s="4"/>
      <c r="BH5" s="4"/>
    </row>
    <row r="6" spans="1:60" ht="9" customHeight="1">
      <c r="A6" s="39"/>
      <c r="B6" s="8" t="s">
        <v>9</v>
      </c>
      <c r="C6" s="3" t="s">
        <v>10</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74"/>
      <c r="AJ6" s="5"/>
      <c r="AK6" s="5"/>
      <c r="AL6" s="5"/>
      <c r="AM6" s="5"/>
      <c r="AN6" s="5"/>
      <c r="AO6" s="5"/>
      <c r="AP6" s="5"/>
      <c r="AQ6" s="5"/>
      <c r="AR6" s="5"/>
      <c r="AS6" s="5"/>
      <c r="AT6" s="5"/>
      <c r="AU6" s="4"/>
      <c r="AV6" s="4"/>
      <c r="AW6" s="4"/>
      <c r="AX6" s="4"/>
      <c r="AY6" s="4"/>
      <c r="AZ6" s="4"/>
      <c r="BA6" s="4"/>
      <c r="BB6" s="4"/>
      <c r="BC6" s="4"/>
      <c r="BD6" s="4"/>
      <c r="BE6" s="4"/>
      <c r="BF6" s="4"/>
      <c r="BG6" s="4"/>
      <c r="BH6" s="4"/>
    </row>
    <row r="7" spans="1:60" ht="16" customHeight="1">
      <c r="B7" s="9"/>
      <c r="C7" s="10"/>
      <c r="E7" s="508" t="s">
        <v>11</v>
      </c>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J7" s="12" t="s">
        <v>12</v>
      </c>
      <c r="AK7" s="13"/>
      <c r="AL7" s="13"/>
      <c r="AM7" s="13"/>
      <c r="AN7" s="13"/>
      <c r="AO7" s="13"/>
      <c r="AP7" s="13"/>
      <c r="AQ7" s="13"/>
      <c r="AR7" s="13"/>
      <c r="AS7" s="13"/>
      <c r="AT7" s="13"/>
      <c r="AU7" s="14"/>
      <c r="AV7" s="14"/>
      <c r="AW7" s="14"/>
      <c r="AX7" s="14"/>
      <c r="AY7" s="14"/>
      <c r="AZ7" s="14"/>
      <c r="BA7" s="14"/>
      <c r="BB7" s="14"/>
      <c r="BC7" s="14"/>
      <c r="BD7" s="14"/>
      <c r="BE7" s="14"/>
      <c r="BF7" s="14"/>
      <c r="BG7" s="14"/>
      <c r="BH7" s="14"/>
    </row>
    <row r="8" spans="1:60" ht="14" customHeight="1">
      <c r="A8" s="41"/>
      <c r="B8" s="15"/>
      <c r="C8" s="15"/>
      <c r="D8" s="15"/>
      <c r="E8" s="510" t="s">
        <v>13</v>
      </c>
      <c r="F8" s="509"/>
      <c r="G8" s="509"/>
      <c r="H8" s="509"/>
      <c r="I8" s="509"/>
      <c r="J8" s="509"/>
      <c r="K8" s="509"/>
      <c r="L8" s="509"/>
      <c r="M8" s="509"/>
      <c r="N8" s="509"/>
      <c r="O8" s="509"/>
      <c r="P8" s="509"/>
      <c r="Q8" s="509"/>
      <c r="R8" s="509"/>
      <c r="S8" s="509"/>
      <c r="T8" s="509"/>
      <c r="U8" s="509"/>
      <c r="V8" s="509"/>
      <c r="W8" s="509"/>
      <c r="X8" s="509"/>
      <c r="Y8" s="509"/>
      <c r="Z8" s="509"/>
      <c r="AA8" s="509"/>
      <c r="AB8" s="11"/>
      <c r="AC8" s="11"/>
      <c r="AD8" s="11"/>
      <c r="AE8" s="11"/>
      <c r="AF8" s="11"/>
      <c r="AG8" s="15"/>
      <c r="AH8" s="15"/>
      <c r="AI8" s="75"/>
      <c r="AJ8" s="15" t="s">
        <v>14</v>
      </c>
      <c r="AK8" s="15"/>
      <c r="AL8" s="15"/>
      <c r="AM8" s="15"/>
      <c r="AN8" s="15"/>
      <c r="AO8" s="15"/>
      <c r="AP8" s="15"/>
      <c r="AQ8" s="15"/>
      <c r="AR8" s="15"/>
      <c r="AS8" s="15"/>
      <c r="AT8" s="15"/>
      <c r="AU8" s="15"/>
      <c r="AV8" s="15"/>
      <c r="AW8" s="15"/>
      <c r="AX8" s="15"/>
      <c r="AY8" s="15"/>
      <c r="AZ8" s="15"/>
      <c r="BA8" s="15"/>
      <c r="BB8" s="15"/>
      <c r="BC8" s="15"/>
      <c r="BD8" s="15"/>
      <c r="BE8" s="15"/>
      <c r="BF8" s="15"/>
      <c r="BG8" s="15"/>
      <c r="BH8" s="15"/>
    </row>
    <row r="9" spans="1:60" ht="49" customHeight="1">
      <c r="A9" s="42" t="s">
        <v>15</v>
      </c>
      <c r="B9" s="16" t="s">
        <v>16</v>
      </c>
      <c r="C9" s="16" t="s">
        <v>17</v>
      </c>
      <c r="D9" s="16" t="s">
        <v>18</v>
      </c>
      <c r="E9" s="17" t="s">
        <v>19</v>
      </c>
      <c r="F9" s="17" t="s">
        <v>20</v>
      </c>
      <c r="G9" s="17" t="s">
        <v>21</v>
      </c>
      <c r="H9" s="17" t="s">
        <v>22</v>
      </c>
      <c r="I9" s="17" t="s">
        <v>23</v>
      </c>
      <c r="J9" s="17" t="s">
        <v>24</v>
      </c>
      <c r="K9" s="17" t="s">
        <v>25</v>
      </c>
      <c r="L9" s="17" t="s">
        <v>26</v>
      </c>
      <c r="M9" s="17" t="s">
        <v>27</v>
      </c>
      <c r="N9" s="17" t="s">
        <v>28</v>
      </c>
      <c r="O9" s="17" t="s">
        <v>29</v>
      </c>
      <c r="P9" s="17" t="s">
        <v>30</v>
      </c>
      <c r="Q9" s="17" t="s">
        <v>31</v>
      </c>
      <c r="R9" s="17" t="s">
        <v>32</v>
      </c>
      <c r="S9" s="17" t="s">
        <v>33</v>
      </c>
      <c r="T9" s="17" t="s">
        <v>34</v>
      </c>
      <c r="U9" s="17" t="s">
        <v>35</v>
      </c>
      <c r="V9" s="17" t="s">
        <v>36</v>
      </c>
      <c r="W9" s="17" t="s">
        <v>37</v>
      </c>
      <c r="X9" s="17" t="s">
        <v>38</v>
      </c>
      <c r="Y9" s="17" t="s">
        <v>39</v>
      </c>
      <c r="Z9" s="17" t="s">
        <v>40</v>
      </c>
      <c r="AA9" s="17" t="s">
        <v>41</v>
      </c>
      <c r="AB9" s="17" t="s">
        <v>42</v>
      </c>
      <c r="AC9" s="17" t="s">
        <v>43</v>
      </c>
      <c r="AD9" s="17" t="s">
        <v>44</v>
      </c>
      <c r="AE9" s="17" t="s">
        <v>45</v>
      </c>
      <c r="AF9" s="17" t="s">
        <v>46</v>
      </c>
      <c r="AG9" s="16" t="s">
        <v>47</v>
      </c>
      <c r="AH9" s="16" t="s">
        <v>48</v>
      </c>
      <c r="AI9" s="72" t="s">
        <v>49</v>
      </c>
      <c r="AJ9" s="18" t="s">
        <v>50</v>
      </c>
      <c r="AK9" s="18" t="s">
        <v>51</v>
      </c>
      <c r="AL9" s="18" t="s">
        <v>52</v>
      </c>
      <c r="AM9" s="18" t="s">
        <v>53</v>
      </c>
      <c r="AN9" s="18" t="s">
        <v>54</v>
      </c>
      <c r="AO9" s="18" t="s">
        <v>55</v>
      </c>
      <c r="AP9" s="18" t="s">
        <v>56</v>
      </c>
      <c r="AQ9" s="18" t="s">
        <v>57</v>
      </c>
      <c r="AR9" s="18" t="s">
        <v>58</v>
      </c>
      <c r="AS9" s="18" t="s">
        <v>59</v>
      </c>
      <c r="AT9" s="18" t="s">
        <v>60</v>
      </c>
      <c r="AU9" s="19" t="s">
        <v>61</v>
      </c>
      <c r="AV9" s="20"/>
      <c r="AW9" s="20"/>
      <c r="AX9" s="20"/>
      <c r="AY9" s="20"/>
      <c r="AZ9" s="20"/>
      <c r="BA9" s="20"/>
      <c r="BB9" s="20"/>
      <c r="BC9" s="20"/>
      <c r="BD9" s="20"/>
      <c r="BE9" s="20"/>
      <c r="BF9" s="20"/>
      <c r="BG9" s="20"/>
      <c r="BH9" s="20"/>
    </row>
    <row r="10" spans="1:60" ht="14.25" customHeight="1">
      <c r="A10" s="43" t="s">
        <v>62</v>
      </c>
      <c r="B10" s="21" t="s">
        <v>63</v>
      </c>
      <c r="C10" s="22"/>
      <c r="D10" s="22"/>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511" t="s">
        <v>64</v>
      </c>
      <c r="AH10" s="514" t="s">
        <v>65</v>
      </c>
      <c r="AI10" s="76"/>
      <c r="AJ10" s="24" t="s">
        <v>66</v>
      </c>
      <c r="AK10" s="25" t="s">
        <v>67</v>
      </c>
      <c r="AL10" s="25" t="s">
        <v>67</v>
      </c>
      <c r="AM10" s="25" t="s">
        <v>67</v>
      </c>
      <c r="AN10" s="25" t="s">
        <v>67</v>
      </c>
      <c r="AO10" s="25" t="s">
        <v>67</v>
      </c>
      <c r="AP10" s="25" t="s">
        <v>67</v>
      </c>
      <c r="AQ10" s="25" t="s">
        <v>67</v>
      </c>
      <c r="AR10" s="25" t="s">
        <v>67</v>
      </c>
      <c r="AS10" s="25" t="s">
        <v>67</v>
      </c>
      <c r="AT10" s="25" t="s">
        <v>67</v>
      </c>
      <c r="AU10" s="25" t="s">
        <v>67</v>
      </c>
      <c r="AV10" s="26"/>
      <c r="AW10" s="26"/>
      <c r="AX10" s="26"/>
      <c r="AY10" s="26"/>
      <c r="AZ10" s="26"/>
      <c r="BA10" s="26"/>
      <c r="BB10" s="26"/>
      <c r="BC10" s="26"/>
      <c r="BD10" s="26"/>
      <c r="BE10" s="26"/>
      <c r="BF10" s="26"/>
      <c r="BG10" s="26"/>
      <c r="BH10" s="26"/>
    </row>
    <row r="11" spans="1:60" ht="28" customHeight="1">
      <c r="A11" s="295">
        <v>1</v>
      </c>
      <c r="B11" s="37" t="s">
        <v>68</v>
      </c>
      <c r="C11" s="37" t="s">
        <v>69</v>
      </c>
      <c r="D11" s="37" t="s">
        <v>70</v>
      </c>
      <c r="E11" s="20"/>
      <c r="F11" s="44" t="s">
        <v>71</v>
      </c>
      <c r="G11" s="20" t="s">
        <v>72</v>
      </c>
      <c r="H11" s="20" t="s">
        <v>72</v>
      </c>
      <c r="I11" s="20" t="s">
        <v>72</v>
      </c>
      <c r="J11" s="20" t="s">
        <v>72</v>
      </c>
      <c r="K11" s="20" t="s">
        <v>72</v>
      </c>
      <c r="L11" s="20" t="s">
        <v>72</v>
      </c>
      <c r="M11" s="20" t="s">
        <v>72</v>
      </c>
      <c r="N11" s="20" t="s">
        <v>72</v>
      </c>
      <c r="O11" s="20" t="s">
        <v>72</v>
      </c>
      <c r="P11" s="20" t="s">
        <v>72</v>
      </c>
      <c r="Q11" s="20" t="s">
        <v>72</v>
      </c>
      <c r="R11" s="20" t="s">
        <v>72</v>
      </c>
      <c r="S11" s="20" t="s">
        <v>72</v>
      </c>
      <c r="T11" s="20" t="s">
        <v>72</v>
      </c>
      <c r="U11" s="20" t="s">
        <v>72</v>
      </c>
      <c r="V11" s="20" t="s">
        <v>72</v>
      </c>
      <c r="W11" s="20" t="s">
        <v>72</v>
      </c>
      <c r="X11" s="20" t="s">
        <v>72</v>
      </c>
      <c r="Y11" s="20" t="s">
        <v>72</v>
      </c>
      <c r="Z11" s="20" t="s">
        <v>72</v>
      </c>
      <c r="AA11" s="20" t="s">
        <v>72</v>
      </c>
      <c r="AB11" s="20" t="s">
        <v>72</v>
      </c>
      <c r="AC11" s="20" t="s">
        <v>72</v>
      </c>
      <c r="AD11" s="20" t="s">
        <v>72</v>
      </c>
      <c r="AE11" s="20" t="s">
        <v>73</v>
      </c>
      <c r="AF11" s="20" t="s">
        <v>72</v>
      </c>
      <c r="AG11" s="512"/>
      <c r="AH11" s="512"/>
      <c r="AI11" s="76"/>
      <c r="AJ11" s="25"/>
      <c r="AK11" s="25"/>
      <c r="AL11" s="25"/>
      <c r="AM11" s="25"/>
      <c r="AN11" s="25"/>
      <c r="AO11" s="25"/>
      <c r="AP11" s="25"/>
      <c r="AQ11" s="25"/>
      <c r="AR11" s="25"/>
      <c r="AS11" s="25"/>
      <c r="AT11" s="25"/>
      <c r="AU11" s="25"/>
      <c r="AV11" s="26"/>
      <c r="AW11" s="26"/>
      <c r="AX11" s="26"/>
      <c r="AY11" s="26"/>
      <c r="AZ11" s="26"/>
      <c r="BA11" s="26"/>
      <c r="BB11" s="26"/>
      <c r="BC11" s="26"/>
      <c r="BD11" s="26"/>
      <c r="BE11" s="26"/>
      <c r="BF11" s="26"/>
      <c r="BG11" s="26"/>
      <c r="BH11" s="26"/>
    </row>
    <row r="12" spans="1:60" ht="14.25" customHeight="1">
      <c r="A12" s="295">
        <v>3</v>
      </c>
      <c r="B12" s="37" t="s">
        <v>74</v>
      </c>
      <c r="C12" s="37" t="s">
        <v>75</v>
      </c>
      <c r="D12" s="37" t="s">
        <v>76</v>
      </c>
      <c r="E12" s="20"/>
      <c r="F12" s="20" t="s">
        <v>72</v>
      </c>
      <c r="G12" s="20" t="s">
        <v>72</v>
      </c>
      <c r="H12" s="20" t="s">
        <v>72</v>
      </c>
      <c r="I12" s="20" t="s">
        <v>72</v>
      </c>
      <c r="J12" s="20" t="s">
        <v>72</v>
      </c>
      <c r="K12" s="20" t="s">
        <v>72</v>
      </c>
      <c r="L12" s="20" t="s">
        <v>72</v>
      </c>
      <c r="M12" s="20" t="s">
        <v>72</v>
      </c>
      <c r="N12" s="20" t="s">
        <v>72</v>
      </c>
      <c r="O12" s="20" t="s">
        <v>72</v>
      </c>
      <c r="P12" s="20" t="s">
        <v>72</v>
      </c>
      <c r="Q12" s="20" t="s">
        <v>72</v>
      </c>
      <c r="R12" s="20" t="s">
        <v>72</v>
      </c>
      <c r="S12" s="20" t="s">
        <v>72</v>
      </c>
      <c r="T12" s="20" t="s">
        <v>72</v>
      </c>
      <c r="U12" s="20" t="s">
        <v>72</v>
      </c>
      <c r="V12" s="20" t="s">
        <v>72</v>
      </c>
      <c r="W12" s="20" t="s">
        <v>72</v>
      </c>
      <c r="X12" s="20" t="s">
        <v>72</v>
      </c>
      <c r="Y12" s="20" t="s">
        <v>72</v>
      </c>
      <c r="Z12" s="20" t="s">
        <v>72</v>
      </c>
      <c r="AA12" s="20" t="s">
        <v>72</v>
      </c>
      <c r="AB12" s="20" t="s">
        <v>72</v>
      </c>
      <c r="AC12" s="20" t="s">
        <v>72</v>
      </c>
      <c r="AD12" s="20" t="s">
        <v>72</v>
      </c>
      <c r="AE12" s="20" t="s">
        <v>73</v>
      </c>
      <c r="AF12" s="20" t="s">
        <v>73</v>
      </c>
      <c r="AG12" s="512"/>
      <c r="AH12" s="512"/>
      <c r="AI12" s="76"/>
      <c r="AJ12" s="25"/>
      <c r="AK12" s="25"/>
      <c r="AL12" s="25"/>
      <c r="AM12" s="25"/>
      <c r="AN12" s="25"/>
      <c r="AO12" s="25"/>
      <c r="AP12" s="25"/>
      <c r="AQ12" s="25"/>
      <c r="AR12" s="25"/>
      <c r="AS12" s="25"/>
      <c r="AT12" s="25"/>
      <c r="AU12" s="25"/>
      <c r="AV12" s="26"/>
      <c r="AW12" s="26"/>
      <c r="AX12" s="26"/>
      <c r="AY12" s="26"/>
      <c r="AZ12" s="26"/>
      <c r="BA12" s="26"/>
      <c r="BB12" s="26"/>
      <c r="BC12" s="26"/>
      <c r="BD12" s="26"/>
      <c r="BE12" s="26"/>
      <c r="BF12" s="26"/>
      <c r="BG12" s="26"/>
      <c r="BH12" s="26"/>
    </row>
    <row r="13" spans="1:60" ht="14.25" customHeight="1">
      <c r="A13" s="295">
        <v>4</v>
      </c>
      <c r="B13" s="37" t="s">
        <v>77</v>
      </c>
      <c r="C13" s="37" t="s">
        <v>78</v>
      </c>
      <c r="D13" s="37" t="s">
        <v>79</v>
      </c>
      <c r="E13" s="20"/>
      <c r="F13" s="20" t="s">
        <v>72</v>
      </c>
      <c r="G13" s="20" t="s">
        <v>72</v>
      </c>
      <c r="H13" s="20" t="s">
        <v>72</v>
      </c>
      <c r="I13" s="20" t="s">
        <v>72</v>
      </c>
      <c r="J13" s="20" t="s">
        <v>72</v>
      </c>
      <c r="K13" s="20" t="s">
        <v>72</v>
      </c>
      <c r="L13" s="20" t="s">
        <v>72</v>
      </c>
      <c r="M13" s="20" t="s">
        <v>72</v>
      </c>
      <c r="N13" s="20" t="s">
        <v>72</v>
      </c>
      <c r="O13" s="20" t="s">
        <v>72</v>
      </c>
      <c r="P13" s="20" t="s">
        <v>72</v>
      </c>
      <c r="Q13" s="20" t="s">
        <v>72</v>
      </c>
      <c r="R13" s="20" t="s">
        <v>72</v>
      </c>
      <c r="S13" s="20" t="s">
        <v>72</v>
      </c>
      <c r="T13" s="20" t="s">
        <v>72</v>
      </c>
      <c r="U13" s="20" t="s">
        <v>72</v>
      </c>
      <c r="V13" s="20" t="s">
        <v>72</v>
      </c>
      <c r="W13" s="20" t="s">
        <v>72</v>
      </c>
      <c r="X13" s="20" t="s">
        <v>72</v>
      </c>
      <c r="Y13" s="20" t="s">
        <v>72</v>
      </c>
      <c r="Z13" s="20" t="s">
        <v>72</v>
      </c>
      <c r="AA13" s="20" t="s">
        <v>72</v>
      </c>
      <c r="AB13" s="20" t="s">
        <v>72</v>
      </c>
      <c r="AC13" s="20" t="s">
        <v>72</v>
      </c>
      <c r="AD13" s="20" t="s">
        <v>72</v>
      </c>
      <c r="AE13" s="20" t="s">
        <v>73</v>
      </c>
      <c r="AF13" s="20" t="s">
        <v>72</v>
      </c>
      <c r="AG13" s="512"/>
      <c r="AH13" s="512"/>
      <c r="AI13" s="76"/>
      <c r="AJ13" s="25"/>
      <c r="AK13" s="25"/>
      <c r="AL13" s="25"/>
      <c r="AM13" s="25"/>
      <c r="AN13" s="25"/>
      <c r="AO13" s="25"/>
      <c r="AP13" s="25"/>
      <c r="AQ13" s="25"/>
      <c r="AR13" s="25"/>
      <c r="AS13" s="25"/>
      <c r="AT13" s="25"/>
      <c r="AU13" s="25"/>
      <c r="AV13" s="26"/>
      <c r="AW13" s="26"/>
      <c r="AX13" s="26"/>
      <c r="AY13" s="26"/>
      <c r="AZ13" s="26"/>
      <c r="BA13" s="26"/>
      <c r="BB13" s="26"/>
      <c r="BC13" s="26"/>
      <c r="BD13" s="26"/>
      <c r="BE13" s="26"/>
      <c r="BF13" s="26"/>
      <c r="BG13" s="26"/>
      <c r="BH13" s="26"/>
    </row>
    <row r="14" spans="1:60" ht="14.25" customHeight="1">
      <c r="A14" s="295">
        <v>5</v>
      </c>
      <c r="B14" s="37" t="s">
        <v>80</v>
      </c>
      <c r="C14" s="37" t="s">
        <v>81</v>
      </c>
      <c r="D14" s="37" t="s">
        <v>82</v>
      </c>
      <c r="E14" s="20"/>
      <c r="F14" s="20" t="s">
        <v>72</v>
      </c>
      <c r="G14" s="20" t="s">
        <v>72</v>
      </c>
      <c r="H14" s="20" t="s">
        <v>72</v>
      </c>
      <c r="I14" s="20" t="s">
        <v>72</v>
      </c>
      <c r="J14" s="20" t="s">
        <v>72</v>
      </c>
      <c r="K14" s="20" t="s">
        <v>72</v>
      </c>
      <c r="L14" s="20" t="s">
        <v>72</v>
      </c>
      <c r="M14" s="20" t="s">
        <v>72</v>
      </c>
      <c r="N14" s="20" t="s">
        <v>72</v>
      </c>
      <c r="O14" s="20" t="s">
        <v>72</v>
      </c>
      <c r="P14" s="20" t="s">
        <v>72</v>
      </c>
      <c r="Q14" s="20" t="s">
        <v>72</v>
      </c>
      <c r="R14" s="20" t="s">
        <v>72</v>
      </c>
      <c r="S14" s="20" t="s">
        <v>72</v>
      </c>
      <c r="T14" s="20" t="s">
        <v>72</v>
      </c>
      <c r="U14" s="20" t="s">
        <v>72</v>
      </c>
      <c r="V14" s="20" t="s">
        <v>72</v>
      </c>
      <c r="W14" s="20" t="s">
        <v>72</v>
      </c>
      <c r="X14" s="20" t="s">
        <v>72</v>
      </c>
      <c r="Y14" s="20" t="s">
        <v>72</v>
      </c>
      <c r="Z14" s="20" t="s">
        <v>72</v>
      </c>
      <c r="AA14" s="20" t="s">
        <v>72</v>
      </c>
      <c r="AB14" s="20" t="s">
        <v>72</v>
      </c>
      <c r="AC14" s="20" t="s">
        <v>72</v>
      </c>
      <c r="AD14" s="20" t="s">
        <v>72</v>
      </c>
      <c r="AE14" s="20" t="s">
        <v>73</v>
      </c>
      <c r="AF14" s="20" t="s">
        <v>72</v>
      </c>
      <c r="AG14" s="512"/>
      <c r="AH14" s="512"/>
      <c r="AI14" s="76"/>
      <c r="AJ14" s="25"/>
      <c r="AK14" s="25"/>
      <c r="AL14" s="25"/>
      <c r="AM14" s="25"/>
      <c r="AN14" s="25"/>
      <c r="AO14" s="25"/>
      <c r="AP14" s="25"/>
      <c r="AQ14" s="25"/>
      <c r="AR14" s="25"/>
      <c r="AS14" s="25"/>
      <c r="AT14" s="25"/>
      <c r="AU14" s="25"/>
      <c r="AV14" s="26"/>
      <c r="AW14" s="26"/>
      <c r="AX14" s="26"/>
      <c r="AY14" s="26"/>
      <c r="AZ14" s="26"/>
      <c r="BA14" s="26"/>
      <c r="BB14" s="26"/>
      <c r="BC14" s="26"/>
      <c r="BD14" s="26"/>
      <c r="BE14" s="26"/>
      <c r="BF14" s="26"/>
      <c r="BG14" s="26"/>
      <c r="BH14" s="26"/>
    </row>
    <row r="15" spans="1:60" ht="14.25" customHeight="1">
      <c r="A15" s="295">
        <v>6</v>
      </c>
      <c r="B15" s="37" t="s">
        <v>83</v>
      </c>
      <c r="C15" s="37" t="s">
        <v>84</v>
      </c>
      <c r="D15" s="37" t="s">
        <v>85</v>
      </c>
      <c r="E15" s="20"/>
      <c r="F15" s="44" t="s">
        <v>71</v>
      </c>
      <c r="G15" s="20" t="s">
        <v>72</v>
      </c>
      <c r="H15" s="20" t="s">
        <v>72</v>
      </c>
      <c r="I15" s="20" t="s">
        <v>72</v>
      </c>
      <c r="J15" s="20" t="s">
        <v>72</v>
      </c>
      <c r="K15" s="20" t="s">
        <v>72</v>
      </c>
      <c r="L15" s="20" t="s">
        <v>72</v>
      </c>
      <c r="M15" s="20" t="s">
        <v>72</v>
      </c>
      <c r="N15" s="20" t="s">
        <v>72</v>
      </c>
      <c r="O15" s="20" t="s">
        <v>72</v>
      </c>
      <c r="P15" s="20" t="s">
        <v>72</v>
      </c>
      <c r="Q15" s="20" t="s">
        <v>72</v>
      </c>
      <c r="R15" s="20" t="s">
        <v>72</v>
      </c>
      <c r="S15" s="20" t="s">
        <v>72</v>
      </c>
      <c r="T15" s="20" t="s">
        <v>72</v>
      </c>
      <c r="U15" s="20" t="s">
        <v>72</v>
      </c>
      <c r="V15" s="20" t="s">
        <v>72</v>
      </c>
      <c r="W15" s="20" t="s">
        <v>72</v>
      </c>
      <c r="X15" s="20" t="s">
        <v>72</v>
      </c>
      <c r="Y15" s="20" t="s">
        <v>72</v>
      </c>
      <c r="Z15" s="20" t="s">
        <v>72</v>
      </c>
      <c r="AA15" s="20" t="s">
        <v>72</v>
      </c>
      <c r="AB15" s="20" t="s">
        <v>72</v>
      </c>
      <c r="AC15" s="20" t="s">
        <v>72</v>
      </c>
      <c r="AD15" s="20" t="s">
        <v>72</v>
      </c>
      <c r="AE15" s="20" t="s">
        <v>73</v>
      </c>
      <c r="AF15" s="20" t="s">
        <v>72</v>
      </c>
      <c r="AG15" s="512"/>
      <c r="AH15" s="512"/>
      <c r="AI15" s="76"/>
      <c r="AJ15" s="25"/>
      <c r="AK15" s="25"/>
      <c r="AL15" s="25"/>
      <c r="AM15" s="25"/>
      <c r="AN15" s="25"/>
      <c r="AO15" s="25"/>
      <c r="AP15" s="25"/>
      <c r="AQ15" s="25"/>
      <c r="AR15" s="25"/>
      <c r="AS15" s="25"/>
      <c r="AT15" s="25"/>
      <c r="AU15" s="25"/>
      <c r="AV15" s="26"/>
      <c r="AW15" s="26"/>
      <c r="AX15" s="26"/>
      <c r="AY15" s="26"/>
      <c r="AZ15" s="26"/>
      <c r="BA15" s="26"/>
      <c r="BB15" s="26"/>
      <c r="BC15" s="26"/>
      <c r="BD15" s="26"/>
      <c r="BE15" s="26"/>
      <c r="BF15" s="26"/>
      <c r="BG15" s="26"/>
      <c r="BH15" s="26"/>
    </row>
    <row r="16" spans="1:60" ht="14.25" customHeight="1">
      <c r="A16" s="295">
        <v>7</v>
      </c>
      <c r="B16" s="37" t="s">
        <v>86</v>
      </c>
      <c r="C16" s="37" t="s">
        <v>87</v>
      </c>
      <c r="D16" s="37" t="s">
        <v>87</v>
      </c>
      <c r="E16" s="20"/>
      <c r="F16" s="20" t="s">
        <v>72</v>
      </c>
      <c r="G16" s="20" t="s">
        <v>72</v>
      </c>
      <c r="H16" s="20" t="s">
        <v>72</v>
      </c>
      <c r="I16" s="20" t="s">
        <v>72</v>
      </c>
      <c r="J16" s="20" t="s">
        <v>72</v>
      </c>
      <c r="K16" s="20" t="s">
        <v>72</v>
      </c>
      <c r="L16" s="20" t="s">
        <v>72</v>
      </c>
      <c r="M16" s="20" t="s">
        <v>72</v>
      </c>
      <c r="N16" s="20" t="s">
        <v>72</v>
      </c>
      <c r="O16" s="20" t="s">
        <v>72</v>
      </c>
      <c r="P16" s="20" t="s">
        <v>72</v>
      </c>
      <c r="Q16" s="20" t="s">
        <v>72</v>
      </c>
      <c r="R16" s="20" t="s">
        <v>72</v>
      </c>
      <c r="S16" s="20" t="s">
        <v>72</v>
      </c>
      <c r="T16" s="20" t="s">
        <v>72</v>
      </c>
      <c r="U16" s="20" t="s">
        <v>72</v>
      </c>
      <c r="V16" s="20" t="s">
        <v>72</v>
      </c>
      <c r="W16" s="20" t="s">
        <v>72</v>
      </c>
      <c r="X16" s="20" t="s">
        <v>72</v>
      </c>
      <c r="Y16" s="20" t="s">
        <v>72</v>
      </c>
      <c r="Z16" s="20" t="s">
        <v>72</v>
      </c>
      <c r="AA16" s="20" t="s">
        <v>72</v>
      </c>
      <c r="AB16" s="20" t="s">
        <v>72</v>
      </c>
      <c r="AC16" s="20" t="s">
        <v>72</v>
      </c>
      <c r="AD16" s="20" t="s">
        <v>72</v>
      </c>
      <c r="AE16" s="20" t="s">
        <v>73</v>
      </c>
      <c r="AF16" s="20" t="s">
        <v>72</v>
      </c>
      <c r="AG16" s="512"/>
      <c r="AH16" s="512"/>
      <c r="AI16" s="76"/>
      <c r="AJ16" s="25"/>
      <c r="AK16" s="25"/>
      <c r="AL16" s="25"/>
      <c r="AM16" s="25"/>
      <c r="AN16" s="25"/>
      <c r="AO16" s="25"/>
      <c r="AP16" s="25"/>
      <c r="AQ16" s="25"/>
      <c r="AR16" s="25"/>
      <c r="AS16" s="25"/>
      <c r="AT16" s="25"/>
      <c r="AU16" s="25"/>
      <c r="AV16" s="26"/>
      <c r="AW16" s="26"/>
      <c r="AX16" s="26"/>
      <c r="AY16" s="26"/>
      <c r="AZ16" s="26"/>
      <c r="BA16" s="26"/>
      <c r="BB16" s="26"/>
      <c r="BC16" s="26"/>
      <c r="BD16" s="26"/>
      <c r="BE16" s="26"/>
      <c r="BF16" s="26"/>
      <c r="BG16" s="26"/>
      <c r="BH16" s="26"/>
    </row>
    <row r="17" spans="1:60" ht="18" customHeight="1">
      <c r="A17" s="295">
        <v>8</v>
      </c>
      <c r="B17" s="37" t="s">
        <v>88</v>
      </c>
      <c r="C17" s="37" t="s">
        <v>89</v>
      </c>
      <c r="D17" s="37" t="s">
        <v>90</v>
      </c>
      <c r="E17" s="20"/>
      <c r="F17" s="44" t="s">
        <v>71</v>
      </c>
      <c r="G17" s="20" t="s">
        <v>72</v>
      </c>
      <c r="H17" s="20" t="s">
        <v>72</v>
      </c>
      <c r="I17" s="20" t="s">
        <v>72</v>
      </c>
      <c r="J17" s="20" t="s">
        <v>72</v>
      </c>
      <c r="K17" s="20" t="s">
        <v>72</v>
      </c>
      <c r="L17" s="20" t="s">
        <v>72</v>
      </c>
      <c r="M17" s="20" t="s">
        <v>72</v>
      </c>
      <c r="N17" s="20" t="s">
        <v>72</v>
      </c>
      <c r="O17" s="20" t="s">
        <v>72</v>
      </c>
      <c r="P17" s="20" t="s">
        <v>72</v>
      </c>
      <c r="Q17" s="20" t="s">
        <v>72</v>
      </c>
      <c r="R17" s="20" t="s">
        <v>72</v>
      </c>
      <c r="S17" s="20" t="s">
        <v>72</v>
      </c>
      <c r="T17" s="20" t="s">
        <v>72</v>
      </c>
      <c r="U17" s="20" t="s">
        <v>72</v>
      </c>
      <c r="V17" s="20" t="s">
        <v>72</v>
      </c>
      <c r="W17" s="20" t="s">
        <v>72</v>
      </c>
      <c r="X17" s="20" t="s">
        <v>72</v>
      </c>
      <c r="Y17" s="20" t="s">
        <v>72</v>
      </c>
      <c r="Z17" s="20" t="s">
        <v>72</v>
      </c>
      <c r="AA17" s="20" t="s">
        <v>72</v>
      </c>
      <c r="AB17" s="20" t="s">
        <v>72</v>
      </c>
      <c r="AC17" s="20" t="s">
        <v>72</v>
      </c>
      <c r="AD17" s="20" t="s">
        <v>72</v>
      </c>
      <c r="AE17" s="20" t="s">
        <v>73</v>
      </c>
      <c r="AF17" s="20" t="s">
        <v>72</v>
      </c>
      <c r="AG17" s="513"/>
      <c r="AH17" s="513"/>
      <c r="AI17" s="76"/>
      <c r="AJ17" s="25"/>
      <c r="AK17" s="25"/>
      <c r="AL17" s="25"/>
      <c r="AM17" s="25"/>
      <c r="AN17" s="25"/>
      <c r="AO17" s="25"/>
      <c r="AP17" s="25"/>
      <c r="AQ17" s="25"/>
      <c r="AR17" s="25"/>
      <c r="AS17" s="25"/>
      <c r="AT17" s="25"/>
      <c r="AU17" s="25"/>
      <c r="AV17" s="26"/>
      <c r="AW17" s="26"/>
      <c r="AX17" s="26"/>
      <c r="AY17" s="26"/>
      <c r="AZ17" s="26"/>
      <c r="BA17" s="26"/>
      <c r="BB17" s="26"/>
      <c r="BC17" s="26"/>
      <c r="BD17" s="26"/>
      <c r="BE17" s="26"/>
      <c r="BF17" s="26"/>
      <c r="BG17" s="26"/>
      <c r="BH17" s="26"/>
    </row>
    <row r="18" spans="1:60" ht="14.25" customHeight="1">
      <c r="A18" s="43" t="s">
        <v>91</v>
      </c>
      <c r="B18" s="24" t="s">
        <v>92</v>
      </c>
      <c r="C18" s="25"/>
      <c r="D18" s="25"/>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8"/>
      <c r="AH18" s="28"/>
      <c r="AI18" s="76"/>
      <c r="AJ18" s="25"/>
      <c r="AK18" s="25"/>
      <c r="AL18" s="25"/>
      <c r="AM18" s="25"/>
      <c r="AN18" s="25"/>
      <c r="AO18" s="25"/>
      <c r="AP18" s="25"/>
      <c r="AQ18" s="25"/>
      <c r="AR18" s="25"/>
      <c r="AS18" s="25"/>
      <c r="AT18" s="25"/>
      <c r="AU18" s="25"/>
      <c r="AV18" s="26"/>
      <c r="AW18" s="26"/>
      <c r="AX18" s="26"/>
      <c r="AY18" s="26"/>
      <c r="AZ18" s="26"/>
      <c r="BA18" s="26"/>
      <c r="BB18" s="26"/>
      <c r="BC18" s="26"/>
      <c r="BD18" s="26"/>
      <c r="BE18" s="26"/>
      <c r="BF18" s="26"/>
      <c r="BG18" s="26"/>
      <c r="BH18" s="26"/>
    </row>
    <row r="19" spans="1:60" ht="46" customHeight="1">
      <c r="A19" s="295">
        <v>1</v>
      </c>
      <c r="B19" s="45" t="s">
        <v>93</v>
      </c>
      <c r="C19" s="45" t="s">
        <v>94</v>
      </c>
      <c r="D19" s="45" t="s">
        <v>95</v>
      </c>
      <c r="E19" s="20"/>
      <c r="F19" s="20" t="s">
        <v>71</v>
      </c>
      <c r="G19" s="20" t="s">
        <v>72</v>
      </c>
      <c r="H19" s="20" t="s">
        <v>72</v>
      </c>
      <c r="I19" s="20" t="s">
        <v>72</v>
      </c>
      <c r="J19" s="20" t="s">
        <v>72</v>
      </c>
      <c r="K19" s="20" t="s">
        <v>72</v>
      </c>
      <c r="L19" s="20" t="s">
        <v>72</v>
      </c>
      <c r="M19" s="20" t="s">
        <v>72</v>
      </c>
      <c r="N19" s="44" t="s">
        <v>96</v>
      </c>
      <c r="O19" s="44" t="s">
        <v>96</v>
      </c>
      <c r="P19" s="20" t="s">
        <v>72</v>
      </c>
      <c r="Q19" s="20" t="s">
        <v>72</v>
      </c>
      <c r="R19" s="20" t="s">
        <v>96</v>
      </c>
      <c r="S19" s="20" t="s">
        <v>72</v>
      </c>
      <c r="T19" s="20" t="s">
        <v>96</v>
      </c>
      <c r="U19" s="20" t="s">
        <v>96</v>
      </c>
      <c r="V19" s="20" t="s">
        <v>96</v>
      </c>
      <c r="W19" s="20" t="s">
        <v>72</v>
      </c>
      <c r="X19" s="20" t="s">
        <v>72</v>
      </c>
      <c r="Y19" s="20" t="s">
        <v>72</v>
      </c>
      <c r="Z19" s="44" t="s">
        <v>96</v>
      </c>
      <c r="AA19" s="44" t="s">
        <v>96</v>
      </c>
      <c r="AB19" s="20" t="s">
        <v>96</v>
      </c>
      <c r="AC19" s="20" t="s">
        <v>72</v>
      </c>
      <c r="AD19" s="20" t="s">
        <v>72</v>
      </c>
      <c r="AE19" s="20" t="s">
        <v>96</v>
      </c>
      <c r="AF19" s="20" t="s">
        <v>72</v>
      </c>
      <c r="AG19" s="28" t="s">
        <v>97</v>
      </c>
      <c r="AH19" s="28" t="s">
        <v>98</v>
      </c>
      <c r="AI19" s="76">
        <f>ACC_FIN!C13</f>
        <v>21.849999999999998</v>
      </c>
      <c r="AJ19" s="25" t="s">
        <v>99</v>
      </c>
      <c r="AK19" s="24" t="s">
        <v>66</v>
      </c>
      <c r="AL19" s="25" t="s">
        <v>67</v>
      </c>
      <c r="AM19" s="25" t="s">
        <v>67</v>
      </c>
      <c r="AN19" s="25" t="s">
        <v>67</v>
      </c>
      <c r="AO19" s="25" t="s">
        <v>67</v>
      </c>
      <c r="AP19" s="25" t="s">
        <v>67</v>
      </c>
      <c r="AQ19" s="25" t="s">
        <v>67</v>
      </c>
      <c r="AR19" s="25" t="s">
        <v>67</v>
      </c>
      <c r="AS19" s="25" t="s">
        <v>67</v>
      </c>
      <c r="AT19" s="25" t="s">
        <v>67</v>
      </c>
      <c r="AU19" s="25" t="s">
        <v>67</v>
      </c>
      <c r="AV19" s="26"/>
      <c r="AW19" s="26"/>
      <c r="AX19" s="26"/>
      <c r="AY19" s="26"/>
      <c r="AZ19" s="26"/>
      <c r="BA19" s="26"/>
      <c r="BB19" s="26"/>
      <c r="BC19" s="26"/>
      <c r="BD19" s="26"/>
      <c r="BE19" s="26"/>
      <c r="BF19" s="26"/>
      <c r="BG19" s="26"/>
      <c r="BH19" s="26"/>
    </row>
    <row r="20" spans="1:60" ht="21" customHeight="1">
      <c r="A20" s="295"/>
      <c r="B20" s="45" t="s">
        <v>100</v>
      </c>
      <c r="C20" s="45" t="s">
        <v>101</v>
      </c>
      <c r="D20" s="45" t="s">
        <v>102</v>
      </c>
      <c r="E20" s="20"/>
      <c r="F20" s="20" t="s">
        <v>71</v>
      </c>
      <c r="G20" s="20" t="s">
        <v>72</v>
      </c>
      <c r="H20" s="20" t="s">
        <v>72</v>
      </c>
      <c r="I20" s="20" t="s">
        <v>72</v>
      </c>
      <c r="J20" s="20" t="s">
        <v>72</v>
      </c>
      <c r="K20" s="20" t="s">
        <v>72</v>
      </c>
      <c r="L20" s="20" t="s">
        <v>72</v>
      </c>
      <c r="M20" s="20" t="s">
        <v>72</v>
      </c>
      <c r="N20" s="20" t="s">
        <v>72</v>
      </c>
      <c r="O20" s="20" t="s">
        <v>72</v>
      </c>
      <c r="P20" s="20" t="s">
        <v>72</v>
      </c>
      <c r="Q20" s="20" t="s">
        <v>72</v>
      </c>
      <c r="R20" s="20" t="s">
        <v>72</v>
      </c>
      <c r="S20" s="20" t="s">
        <v>72</v>
      </c>
      <c r="T20" s="20" t="s">
        <v>72</v>
      </c>
      <c r="U20" s="20" t="s">
        <v>72</v>
      </c>
      <c r="V20" s="20" t="s">
        <v>72</v>
      </c>
      <c r="W20" s="20" t="s">
        <v>72</v>
      </c>
      <c r="X20" s="20" t="s">
        <v>72</v>
      </c>
      <c r="Y20" s="20" t="s">
        <v>72</v>
      </c>
      <c r="Z20" s="20" t="s">
        <v>72</v>
      </c>
      <c r="AA20" s="20" t="s">
        <v>72</v>
      </c>
      <c r="AB20" s="44" t="s">
        <v>96</v>
      </c>
      <c r="AC20" s="20" t="s">
        <v>72</v>
      </c>
      <c r="AD20" s="20" t="s">
        <v>96</v>
      </c>
      <c r="AE20" s="20" t="s">
        <v>73</v>
      </c>
      <c r="AF20" s="20" t="s">
        <v>72</v>
      </c>
      <c r="AG20" s="28" t="s">
        <v>0</v>
      </c>
      <c r="AH20" s="28" t="s">
        <v>103</v>
      </c>
      <c r="AI20" s="76">
        <f>'HR.ADM.LEGAL'!E20</f>
        <v>2.0300000000000002</v>
      </c>
      <c r="AJ20" s="25" t="s">
        <v>99</v>
      </c>
      <c r="AK20" s="25" t="s">
        <v>67</v>
      </c>
      <c r="AL20" s="25" t="s">
        <v>67</v>
      </c>
      <c r="AM20" s="24" t="s">
        <v>66</v>
      </c>
      <c r="AN20" s="25" t="s">
        <v>67</v>
      </c>
      <c r="AO20" s="24" t="s">
        <v>66</v>
      </c>
      <c r="AP20" s="25" t="s">
        <v>67</v>
      </c>
      <c r="AQ20" s="25" t="s">
        <v>67</v>
      </c>
      <c r="AR20" s="24" t="s">
        <v>66</v>
      </c>
      <c r="AS20" s="25" t="s">
        <v>67</v>
      </c>
      <c r="AT20" s="24" t="s">
        <v>66</v>
      </c>
      <c r="AU20" s="24" t="s">
        <v>66</v>
      </c>
      <c r="AV20" s="26"/>
      <c r="AW20" s="26"/>
      <c r="AX20" s="26"/>
      <c r="AY20" s="26"/>
      <c r="AZ20" s="26"/>
      <c r="BA20" s="26"/>
      <c r="BB20" s="26"/>
      <c r="BC20" s="26"/>
      <c r="BD20" s="26"/>
      <c r="BE20" s="26"/>
      <c r="BF20" s="26"/>
      <c r="BG20" s="26"/>
      <c r="BH20" s="26"/>
    </row>
    <row r="21" spans="1:60" ht="32" customHeight="1">
      <c r="A21" s="295"/>
      <c r="B21" s="45" t="s">
        <v>104</v>
      </c>
      <c r="C21" s="45"/>
      <c r="D21" s="45"/>
      <c r="E21" s="20"/>
      <c r="F21" s="20" t="s">
        <v>71</v>
      </c>
      <c r="G21" s="20" t="s">
        <v>96</v>
      </c>
      <c r="H21" s="20" t="s">
        <v>96</v>
      </c>
      <c r="I21" s="20" t="s">
        <v>96</v>
      </c>
      <c r="J21" s="20" t="s">
        <v>96</v>
      </c>
      <c r="K21" s="20" t="s">
        <v>96</v>
      </c>
      <c r="L21" s="20" t="s">
        <v>96</v>
      </c>
      <c r="M21" s="20" t="s">
        <v>96</v>
      </c>
      <c r="N21" s="20" t="s">
        <v>96</v>
      </c>
      <c r="O21" s="20" t="s">
        <v>96</v>
      </c>
      <c r="P21" s="20" t="s">
        <v>96</v>
      </c>
      <c r="Q21" s="20" t="s">
        <v>96</v>
      </c>
      <c r="R21" s="20" t="s">
        <v>96</v>
      </c>
      <c r="S21" s="20" t="s">
        <v>96</v>
      </c>
      <c r="T21" s="20" t="s">
        <v>96</v>
      </c>
      <c r="U21" s="20" t="s">
        <v>96</v>
      </c>
      <c r="V21" s="20" t="s">
        <v>96</v>
      </c>
      <c r="W21" s="20" t="s">
        <v>96</v>
      </c>
      <c r="X21" s="20" t="s">
        <v>96</v>
      </c>
      <c r="Y21" s="20" t="s">
        <v>96</v>
      </c>
      <c r="Z21" s="20" t="s">
        <v>96</v>
      </c>
      <c r="AA21" s="20" t="s">
        <v>96</v>
      </c>
      <c r="AB21" s="20" t="s">
        <v>96</v>
      </c>
      <c r="AC21" s="20" t="s">
        <v>96</v>
      </c>
      <c r="AD21" s="20" t="s">
        <v>96</v>
      </c>
      <c r="AE21" s="20" t="s">
        <v>96</v>
      </c>
      <c r="AF21" s="20" t="s">
        <v>96</v>
      </c>
      <c r="AG21" s="28" t="s">
        <v>97</v>
      </c>
      <c r="AH21" s="28" t="s">
        <v>105</v>
      </c>
      <c r="AI21" s="76">
        <f>DMD!C3</f>
        <v>2.75</v>
      </c>
      <c r="AJ21" s="25"/>
      <c r="AK21" s="25"/>
      <c r="AL21" s="25"/>
      <c r="AM21" s="24"/>
      <c r="AN21" s="25"/>
      <c r="AO21" s="24"/>
      <c r="AP21" s="25"/>
      <c r="AQ21" s="25"/>
      <c r="AR21" s="24"/>
      <c r="AS21" s="25"/>
      <c r="AT21" s="24"/>
      <c r="AU21" s="24"/>
      <c r="AV21" s="26"/>
      <c r="AW21" s="26"/>
      <c r="AX21" s="26"/>
      <c r="AY21" s="26"/>
      <c r="AZ21" s="26"/>
      <c r="BA21" s="26"/>
      <c r="BB21" s="26"/>
      <c r="BC21" s="26"/>
      <c r="BD21" s="26"/>
      <c r="BE21" s="26"/>
      <c r="BF21" s="26"/>
      <c r="BG21" s="26"/>
      <c r="BH21" s="26"/>
    </row>
    <row r="22" spans="1:60" ht="48" customHeight="1">
      <c r="A22" s="295">
        <v>2</v>
      </c>
      <c r="B22" s="37" t="s">
        <v>106</v>
      </c>
      <c r="C22" s="37" t="s">
        <v>107</v>
      </c>
      <c r="D22" s="37" t="s">
        <v>108</v>
      </c>
      <c r="E22" s="20"/>
      <c r="F22" s="20" t="s">
        <v>71</v>
      </c>
      <c r="G22" s="20" t="s">
        <v>72</v>
      </c>
      <c r="H22" s="20" t="s">
        <v>72</v>
      </c>
      <c r="I22" s="20" t="s">
        <v>72</v>
      </c>
      <c r="J22" s="20" t="s">
        <v>72</v>
      </c>
      <c r="K22" s="20" t="s">
        <v>96</v>
      </c>
      <c r="L22" s="20" t="s">
        <v>72</v>
      </c>
      <c r="M22" s="20" t="s">
        <v>96</v>
      </c>
      <c r="N22" s="20" t="s">
        <v>96</v>
      </c>
      <c r="O22" s="20" t="s">
        <v>96</v>
      </c>
      <c r="P22" s="20" t="s">
        <v>72</v>
      </c>
      <c r="Q22" s="20" t="s">
        <v>72</v>
      </c>
      <c r="R22" s="44" t="s">
        <v>96</v>
      </c>
      <c r="S22" s="20" t="s">
        <v>72</v>
      </c>
      <c r="T22" s="44" t="s">
        <v>96</v>
      </c>
      <c r="U22" s="44" t="s">
        <v>96</v>
      </c>
      <c r="V22" s="20" t="s">
        <v>96</v>
      </c>
      <c r="W22" s="20" t="s">
        <v>72</v>
      </c>
      <c r="X22" s="20" t="s">
        <v>72</v>
      </c>
      <c r="Y22" s="20" t="s">
        <v>72</v>
      </c>
      <c r="Z22" s="44" t="s">
        <v>96</v>
      </c>
      <c r="AA22" s="44" t="s">
        <v>96</v>
      </c>
      <c r="AB22" s="20" t="s">
        <v>96</v>
      </c>
      <c r="AC22" s="20" t="s">
        <v>72</v>
      </c>
      <c r="AD22" s="20" t="s">
        <v>72</v>
      </c>
      <c r="AE22" s="20" t="s">
        <v>73</v>
      </c>
      <c r="AF22" s="20" t="s">
        <v>72</v>
      </c>
      <c r="AG22" s="28" t="s">
        <v>0</v>
      </c>
      <c r="AH22" s="28" t="s">
        <v>109</v>
      </c>
      <c r="AI22" s="76">
        <f>MKT.SALES!D26</f>
        <v>5</v>
      </c>
      <c r="AJ22" s="25" t="s">
        <v>99</v>
      </c>
      <c r="AK22" s="24" t="s">
        <v>66</v>
      </c>
      <c r="AL22" s="25" t="s">
        <v>67</v>
      </c>
      <c r="AM22" s="25" t="s">
        <v>67</v>
      </c>
      <c r="AN22" s="25" t="s">
        <v>67</v>
      </c>
      <c r="AO22" s="25" t="s">
        <v>67</v>
      </c>
      <c r="AP22" s="25" t="s">
        <v>67</v>
      </c>
      <c r="AQ22" s="25" t="s">
        <v>67</v>
      </c>
      <c r="AR22" s="25" t="s">
        <v>67</v>
      </c>
      <c r="AS22" s="25" t="s">
        <v>67</v>
      </c>
      <c r="AT22" s="25"/>
      <c r="AU22" s="25"/>
      <c r="AV22" s="26"/>
      <c r="AW22" s="26"/>
      <c r="AX22" s="26"/>
      <c r="AY22" s="26"/>
      <c r="AZ22" s="26"/>
      <c r="BA22" s="26"/>
      <c r="BB22" s="26"/>
      <c r="BC22" s="26"/>
      <c r="BD22" s="26"/>
      <c r="BE22" s="26"/>
      <c r="BF22" s="26"/>
      <c r="BG22" s="26"/>
      <c r="BH22" s="26"/>
    </row>
    <row r="23" spans="1:60" ht="63" customHeight="1">
      <c r="A23" s="295">
        <v>3</v>
      </c>
      <c r="B23" s="45" t="s">
        <v>110</v>
      </c>
      <c r="C23" s="45" t="s">
        <v>111</v>
      </c>
      <c r="D23" s="45" t="s">
        <v>112</v>
      </c>
      <c r="E23" s="20"/>
      <c r="F23" s="20" t="s">
        <v>71</v>
      </c>
      <c r="G23" s="20" t="s">
        <v>72</v>
      </c>
      <c r="H23" s="20" t="s">
        <v>72</v>
      </c>
      <c r="I23" s="20" t="s">
        <v>72</v>
      </c>
      <c r="J23" s="20" t="s">
        <v>72</v>
      </c>
      <c r="K23" s="20" t="s">
        <v>72</v>
      </c>
      <c r="L23" s="20" t="s">
        <v>72</v>
      </c>
      <c r="M23" s="20" t="s">
        <v>72</v>
      </c>
      <c r="N23" s="20" t="s">
        <v>72</v>
      </c>
      <c r="O23" s="20" t="s">
        <v>72</v>
      </c>
      <c r="P23" s="44" t="s">
        <v>96</v>
      </c>
      <c r="Q23" s="44" t="s">
        <v>96</v>
      </c>
      <c r="R23" s="44" t="s">
        <v>96</v>
      </c>
      <c r="S23" s="44" t="s">
        <v>96</v>
      </c>
      <c r="T23" s="44" t="s">
        <v>96</v>
      </c>
      <c r="U23" s="44" t="s">
        <v>96</v>
      </c>
      <c r="V23" s="44" t="s">
        <v>96</v>
      </c>
      <c r="W23" s="44" t="s">
        <v>96</v>
      </c>
      <c r="X23" s="44" t="s">
        <v>96</v>
      </c>
      <c r="Y23" s="44" t="s">
        <v>96</v>
      </c>
      <c r="Z23" s="20" t="s">
        <v>72</v>
      </c>
      <c r="AA23" s="44" t="s">
        <v>96</v>
      </c>
      <c r="AB23" s="20" t="s">
        <v>72</v>
      </c>
      <c r="AC23" s="20" t="s">
        <v>72</v>
      </c>
      <c r="AD23" s="44" t="s">
        <v>96</v>
      </c>
      <c r="AE23" s="20" t="s">
        <v>73</v>
      </c>
      <c r="AF23" s="20" t="s">
        <v>72</v>
      </c>
      <c r="AG23" s="28" t="s">
        <v>0</v>
      </c>
      <c r="AH23" s="28" t="s">
        <v>113</v>
      </c>
      <c r="AI23" s="76">
        <f>MKT.SALES!D18</f>
        <v>3</v>
      </c>
      <c r="AJ23" s="25" t="s">
        <v>99</v>
      </c>
      <c r="AK23" s="25" t="s">
        <v>67</v>
      </c>
      <c r="AL23" s="25" t="s">
        <v>67</v>
      </c>
      <c r="AM23" s="25"/>
      <c r="AN23" s="24" t="s">
        <v>66</v>
      </c>
      <c r="AO23" s="25" t="s">
        <v>67</v>
      </c>
      <c r="AP23" s="25" t="s">
        <v>67</v>
      </c>
      <c r="AQ23" s="24" t="s">
        <v>66</v>
      </c>
      <c r="AR23" s="25" t="s">
        <v>67</v>
      </c>
      <c r="AS23" s="25" t="s">
        <v>67</v>
      </c>
      <c r="AT23" s="25" t="s">
        <v>67</v>
      </c>
      <c r="AU23" s="25" t="s">
        <v>67</v>
      </c>
      <c r="AV23" s="26"/>
      <c r="AW23" s="26"/>
      <c r="AX23" s="26"/>
      <c r="AY23" s="26"/>
      <c r="AZ23" s="26"/>
      <c r="BA23" s="26"/>
      <c r="BB23" s="26"/>
      <c r="BC23" s="26"/>
      <c r="BD23" s="26"/>
      <c r="BE23" s="26"/>
      <c r="BF23" s="26"/>
      <c r="BG23" s="26"/>
      <c r="BH23" s="26"/>
    </row>
    <row r="24" spans="1:60" ht="20" customHeight="1">
      <c r="A24" s="295"/>
      <c r="B24" s="45" t="s">
        <v>114</v>
      </c>
      <c r="C24" s="45"/>
      <c r="D24" s="45"/>
      <c r="E24" s="20"/>
      <c r="F24" s="20" t="s">
        <v>71</v>
      </c>
      <c r="G24" s="20" t="s">
        <v>72</v>
      </c>
      <c r="H24" s="20" t="s">
        <v>72</v>
      </c>
      <c r="I24" s="20" t="s">
        <v>72</v>
      </c>
      <c r="J24" s="20" t="s">
        <v>72</v>
      </c>
      <c r="K24" s="20" t="s">
        <v>72</v>
      </c>
      <c r="L24" s="20" t="s">
        <v>72</v>
      </c>
      <c r="M24" s="20" t="s">
        <v>72</v>
      </c>
      <c r="N24" s="20" t="s">
        <v>72</v>
      </c>
      <c r="O24" s="20" t="s">
        <v>72</v>
      </c>
      <c r="P24" s="44" t="s">
        <v>96</v>
      </c>
      <c r="Q24" s="44" t="s">
        <v>96</v>
      </c>
      <c r="R24" s="44" t="s">
        <v>96</v>
      </c>
      <c r="S24" s="44" t="s">
        <v>96</v>
      </c>
      <c r="T24" s="44" t="s">
        <v>96</v>
      </c>
      <c r="U24" s="44" t="s">
        <v>96</v>
      </c>
      <c r="V24" s="44" t="s">
        <v>96</v>
      </c>
      <c r="W24" s="44" t="s">
        <v>96</v>
      </c>
      <c r="X24" s="44" t="s">
        <v>96</v>
      </c>
      <c r="Y24" s="44" t="s">
        <v>96</v>
      </c>
      <c r="Z24" s="20" t="s">
        <v>72</v>
      </c>
      <c r="AA24" s="44" t="s">
        <v>96</v>
      </c>
      <c r="AB24" s="20" t="s">
        <v>72</v>
      </c>
      <c r="AC24" s="20" t="s">
        <v>72</v>
      </c>
      <c r="AD24" s="44" t="s">
        <v>96</v>
      </c>
      <c r="AE24" s="20" t="s">
        <v>73</v>
      </c>
      <c r="AF24" s="20" t="s">
        <v>72</v>
      </c>
      <c r="AG24" s="28" t="s">
        <v>115</v>
      </c>
      <c r="AH24" s="28" t="s">
        <v>116</v>
      </c>
      <c r="AI24" s="76">
        <f>1.9</f>
        <v>1.9</v>
      </c>
      <c r="AJ24" s="25"/>
      <c r="AK24" s="25"/>
      <c r="AL24" s="25"/>
      <c r="AM24" s="25"/>
      <c r="AN24" s="24"/>
      <c r="AO24" s="25"/>
      <c r="AP24" s="25"/>
      <c r="AQ24" s="24"/>
      <c r="AR24" s="25"/>
      <c r="AS24" s="25"/>
      <c r="AT24" s="25"/>
      <c r="AU24" s="25"/>
      <c r="AV24" s="26"/>
      <c r="AW24" s="26"/>
      <c r="AX24" s="26"/>
      <c r="AY24" s="26"/>
      <c r="AZ24" s="26"/>
      <c r="BA24" s="26"/>
      <c r="BB24" s="26"/>
      <c r="BC24" s="26"/>
      <c r="BD24" s="26"/>
      <c r="BE24" s="26"/>
      <c r="BF24" s="26"/>
      <c r="BG24" s="26"/>
      <c r="BH24" s="26"/>
    </row>
    <row r="25" spans="1:60" ht="88" customHeight="1">
      <c r="A25" s="295">
        <v>4</v>
      </c>
      <c r="B25" s="29" t="s">
        <v>117</v>
      </c>
      <c r="C25" s="37" t="s">
        <v>118</v>
      </c>
      <c r="D25" s="37" t="s">
        <v>119</v>
      </c>
      <c r="E25" s="20"/>
      <c r="F25" s="44" t="s">
        <v>71</v>
      </c>
      <c r="G25" s="20" t="s">
        <v>72</v>
      </c>
      <c r="H25" s="20" t="s">
        <v>72</v>
      </c>
      <c r="I25" s="20" t="s">
        <v>72</v>
      </c>
      <c r="J25" s="20" t="s">
        <v>72</v>
      </c>
      <c r="K25" s="20" t="s">
        <v>72</v>
      </c>
      <c r="L25" s="20" t="s">
        <v>72</v>
      </c>
      <c r="M25" s="44" t="s">
        <v>96</v>
      </c>
      <c r="N25" s="44" t="s">
        <v>96</v>
      </c>
      <c r="O25" s="44" t="s">
        <v>96</v>
      </c>
      <c r="P25" s="20" t="s">
        <v>72</v>
      </c>
      <c r="Q25" s="20" t="s">
        <v>72</v>
      </c>
      <c r="R25" s="20" t="s">
        <v>72</v>
      </c>
      <c r="S25" s="20" t="s">
        <v>72</v>
      </c>
      <c r="T25" s="20" t="s">
        <v>72</v>
      </c>
      <c r="U25" s="20" t="s">
        <v>72</v>
      </c>
      <c r="V25" s="20" t="s">
        <v>72</v>
      </c>
      <c r="W25" s="20" t="s">
        <v>72</v>
      </c>
      <c r="X25" s="20" t="s">
        <v>72</v>
      </c>
      <c r="Y25" s="20" t="s">
        <v>72</v>
      </c>
      <c r="Z25" s="20" t="s">
        <v>72</v>
      </c>
      <c r="AA25" s="20" t="s">
        <v>72</v>
      </c>
      <c r="AB25" s="20" t="s">
        <v>72</v>
      </c>
      <c r="AC25" s="20" t="s">
        <v>72</v>
      </c>
      <c r="AD25" s="20" t="s">
        <v>72</v>
      </c>
      <c r="AE25" s="20" t="s">
        <v>73</v>
      </c>
      <c r="AF25" s="20" t="s">
        <v>72</v>
      </c>
      <c r="AG25" s="28" t="s">
        <v>0</v>
      </c>
      <c r="AH25" s="28" t="s">
        <v>120</v>
      </c>
      <c r="AI25" s="76">
        <f>'PMU.QS.EPL'!E35</f>
        <v>5.6000000000000005</v>
      </c>
      <c r="AJ25" s="25" t="s">
        <v>99</v>
      </c>
      <c r="AK25" s="25" t="s">
        <v>67</v>
      </c>
      <c r="AL25" s="30" t="s">
        <v>66</v>
      </c>
      <c r="AM25" s="25" t="s">
        <v>67</v>
      </c>
      <c r="AN25" s="24" t="s">
        <v>66</v>
      </c>
      <c r="AO25" s="24" t="s">
        <v>66</v>
      </c>
      <c r="AP25" s="25" t="s">
        <v>67</v>
      </c>
      <c r="AQ25" s="25" t="s">
        <v>67</v>
      </c>
      <c r="AR25" s="24" t="s">
        <v>66</v>
      </c>
      <c r="AS25" s="25" t="s">
        <v>67</v>
      </c>
      <c r="AT25" s="25" t="s">
        <v>67</v>
      </c>
      <c r="AU25" s="24" t="s">
        <v>67</v>
      </c>
      <c r="AV25" s="26"/>
      <c r="AW25" s="26"/>
      <c r="AX25" s="26"/>
      <c r="AY25" s="26"/>
      <c r="AZ25" s="26"/>
      <c r="BA25" s="26"/>
      <c r="BB25" s="26"/>
      <c r="BC25" s="26"/>
      <c r="BD25" s="26"/>
      <c r="BE25" s="26"/>
      <c r="BF25" s="26"/>
      <c r="BG25" s="26"/>
      <c r="BH25" s="26"/>
    </row>
    <row r="26" spans="1:60" ht="45" customHeight="1">
      <c r="A26" s="295">
        <v>5</v>
      </c>
      <c r="B26" s="299" t="s">
        <v>121</v>
      </c>
      <c r="C26" s="300" t="s">
        <v>122</v>
      </c>
      <c r="D26" s="300" t="s">
        <v>123</v>
      </c>
      <c r="E26" s="20"/>
      <c r="F26" s="44" t="s">
        <v>71</v>
      </c>
      <c r="G26" s="20" t="s">
        <v>72</v>
      </c>
      <c r="H26" s="20" t="s">
        <v>72</v>
      </c>
      <c r="I26" s="20" t="s">
        <v>72</v>
      </c>
      <c r="J26" s="20" t="s">
        <v>72</v>
      </c>
      <c r="K26" s="20" t="s">
        <v>72</v>
      </c>
      <c r="L26" s="44" t="s">
        <v>96</v>
      </c>
      <c r="M26" s="20" t="s">
        <v>72</v>
      </c>
      <c r="N26" s="20" t="s">
        <v>72</v>
      </c>
      <c r="O26" s="20" t="s">
        <v>72</v>
      </c>
      <c r="P26" s="20" t="s">
        <v>72</v>
      </c>
      <c r="Q26" s="20" t="s">
        <v>72</v>
      </c>
      <c r="R26" s="20" t="s">
        <v>72</v>
      </c>
      <c r="S26" s="20" t="s">
        <v>72</v>
      </c>
      <c r="T26" s="20" t="s">
        <v>72</v>
      </c>
      <c r="U26" s="20" t="s">
        <v>72</v>
      </c>
      <c r="V26" s="20" t="s">
        <v>72</v>
      </c>
      <c r="W26" s="20" t="s">
        <v>72</v>
      </c>
      <c r="X26" s="20" t="s">
        <v>72</v>
      </c>
      <c r="Y26" s="20" t="s">
        <v>72</v>
      </c>
      <c r="Z26" s="20" t="s">
        <v>72</v>
      </c>
      <c r="AA26" s="20" t="s">
        <v>72</v>
      </c>
      <c r="AB26" s="20" t="s">
        <v>72</v>
      </c>
      <c r="AC26" s="20" t="s">
        <v>72</v>
      </c>
      <c r="AD26" s="20" t="s">
        <v>72</v>
      </c>
      <c r="AE26" s="20" t="s">
        <v>73</v>
      </c>
      <c r="AF26" s="20" t="s">
        <v>72</v>
      </c>
      <c r="AG26" s="28" t="s">
        <v>0</v>
      </c>
      <c r="AH26" s="28" t="s">
        <v>120</v>
      </c>
      <c r="AI26" s="76">
        <f>DMD!C5</f>
        <v>5.3</v>
      </c>
      <c r="AJ26" s="190"/>
      <c r="AK26" s="190"/>
      <c r="AL26" s="191"/>
      <c r="AM26" s="190"/>
      <c r="AN26" s="192"/>
      <c r="AO26" s="192"/>
      <c r="AP26" s="190"/>
      <c r="AQ26" s="190"/>
      <c r="AR26" s="192"/>
      <c r="AS26" s="190"/>
      <c r="AT26" s="190"/>
      <c r="AU26" s="192"/>
      <c r="AV26" s="26"/>
      <c r="AW26" s="26"/>
      <c r="AX26" s="26"/>
      <c r="AY26" s="26"/>
      <c r="AZ26" s="26"/>
      <c r="BA26" s="26"/>
      <c r="BB26" s="26"/>
      <c r="BC26" s="26"/>
      <c r="BD26" s="26"/>
      <c r="BE26" s="26"/>
      <c r="BF26" s="26"/>
      <c r="BG26" s="26"/>
      <c r="BH26" s="26"/>
    </row>
    <row r="27" spans="1:60" ht="45" customHeight="1">
      <c r="A27" s="295">
        <v>6</v>
      </c>
      <c r="B27" s="193" t="s">
        <v>124</v>
      </c>
      <c r="C27" s="194" t="s">
        <v>125</v>
      </c>
      <c r="D27" s="193" t="s">
        <v>124</v>
      </c>
      <c r="E27" s="20"/>
      <c r="F27" s="195" t="s">
        <v>71</v>
      </c>
      <c r="G27" s="196" t="s">
        <v>72</v>
      </c>
      <c r="H27" s="196" t="s">
        <v>72</v>
      </c>
      <c r="I27" s="196" t="s">
        <v>72</v>
      </c>
      <c r="J27" s="196" t="s">
        <v>72</v>
      </c>
      <c r="K27" s="195" t="s">
        <v>96</v>
      </c>
      <c r="L27" s="196" t="s">
        <v>72</v>
      </c>
      <c r="M27" s="196" t="s">
        <v>72</v>
      </c>
      <c r="N27" s="196" t="s">
        <v>72</v>
      </c>
      <c r="O27" s="196" t="s">
        <v>72</v>
      </c>
      <c r="P27" s="196" t="s">
        <v>72</v>
      </c>
      <c r="Q27" s="196" t="s">
        <v>72</v>
      </c>
      <c r="R27" s="196" t="s">
        <v>72</v>
      </c>
      <c r="S27" s="196" t="s">
        <v>72</v>
      </c>
      <c r="T27" s="196" t="s">
        <v>72</v>
      </c>
      <c r="U27" s="196" t="s">
        <v>72</v>
      </c>
      <c r="V27" s="196" t="s">
        <v>72</v>
      </c>
      <c r="W27" s="196" t="s">
        <v>72</v>
      </c>
      <c r="X27" s="196" t="s">
        <v>72</v>
      </c>
      <c r="Y27" s="196" t="s">
        <v>72</v>
      </c>
      <c r="Z27" s="196" t="s">
        <v>72</v>
      </c>
      <c r="AA27" s="196" t="s">
        <v>72</v>
      </c>
      <c r="AB27" s="196" t="s">
        <v>72</v>
      </c>
      <c r="AC27" s="196" t="s">
        <v>72</v>
      </c>
      <c r="AD27" s="196" t="s">
        <v>72</v>
      </c>
      <c r="AE27" s="196" t="s">
        <v>96</v>
      </c>
      <c r="AF27" s="196" t="s">
        <v>72</v>
      </c>
      <c r="AG27" s="196"/>
      <c r="AH27" s="196"/>
      <c r="AI27" s="197">
        <v>4.7</v>
      </c>
      <c r="AJ27" s="190"/>
      <c r="AK27" s="190"/>
      <c r="AL27" s="191"/>
      <c r="AM27" s="190"/>
      <c r="AN27" s="192"/>
      <c r="AO27" s="192"/>
      <c r="AP27" s="190"/>
      <c r="AQ27" s="190"/>
      <c r="AR27" s="192"/>
      <c r="AS27" s="190"/>
      <c r="AT27" s="190"/>
      <c r="AU27" s="192"/>
      <c r="AV27" s="26"/>
      <c r="AW27" s="26"/>
      <c r="AX27" s="26"/>
      <c r="AY27" s="26"/>
      <c r="AZ27" s="26"/>
      <c r="BA27" s="26"/>
      <c r="BB27" s="26"/>
      <c r="BC27" s="26"/>
      <c r="BD27" s="26"/>
      <c r="BE27" s="26"/>
      <c r="BF27" s="26"/>
      <c r="BG27" s="26"/>
      <c r="BH27" s="26"/>
    </row>
    <row r="28" spans="1:60" ht="34" customHeight="1">
      <c r="A28" s="295">
        <v>5</v>
      </c>
      <c r="B28" s="31" t="s">
        <v>126</v>
      </c>
      <c r="C28" s="37" t="s">
        <v>127</v>
      </c>
      <c r="D28" s="37" t="s">
        <v>128</v>
      </c>
      <c r="E28" s="20"/>
      <c r="F28" s="195" t="s">
        <v>71</v>
      </c>
      <c r="G28" s="196" t="s">
        <v>72</v>
      </c>
      <c r="H28" s="196" t="s">
        <v>72</v>
      </c>
      <c r="I28" s="196" t="s">
        <v>72</v>
      </c>
      <c r="J28" s="196" t="s">
        <v>72</v>
      </c>
      <c r="K28" s="196" t="s">
        <v>72</v>
      </c>
      <c r="L28" s="196" t="s">
        <v>72</v>
      </c>
      <c r="M28" s="196" t="s">
        <v>72</v>
      </c>
      <c r="N28" s="196" t="s">
        <v>72</v>
      </c>
      <c r="O28" s="195" t="s">
        <v>96</v>
      </c>
      <c r="P28" s="196" t="s">
        <v>72</v>
      </c>
      <c r="Q28" s="196" t="s">
        <v>72</v>
      </c>
      <c r="R28" s="196" t="s">
        <v>72</v>
      </c>
      <c r="S28" s="196" t="s">
        <v>72</v>
      </c>
      <c r="T28" s="195" t="s">
        <v>96</v>
      </c>
      <c r="U28" s="195" t="s">
        <v>96</v>
      </c>
      <c r="V28" s="195" t="s">
        <v>96</v>
      </c>
      <c r="W28" s="196" t="s">
        <v>72</v>
      </c>
      <c r="X28" s="196" t="s">
        <v>72</v>
      </c>
      <c r="Y28" s="196" t="s">
        <v>72</v>
      </c>
      <c r="Z28" s="195" t="s">
        <v>96</v>
      </c>
      <c r="AA28" s="195" t="s">
        <v>96</v>
      </c>
      <c r="AB28" s="196" t="s">
        <v>72</v>
      </c>
      <c r="AC28" s="196" t="s">
        <v>72</v>
      </c>
      <c r="AD28" s="196" t="s">
        <v>72</v>
      </c>
      <c r="AE28" s="196" t="s">
        <v>96</v>
      </c>
      <c r="AF28" s="196" t="s">
        <v>72</v>
      </c>
      <c r="AG28" s="198" t="s">
        <v>0</v>
      </c>
      <c r="AH28" s="196" t="s">
        <v>129</v>
      </c>
      <c r="AI28" s="197">
        <v>1.6</v>
      </c>
      <c r="AJ28" s="515" t="s">
        <v>99</v>
      </c>
      <c r="AK28" s="515" t="s">
        <v>67</v>
      </c>
      <c r="AL28" s="516" t="s">
        <v>66</v>
      </c>
      <c r="AM28" s="515" t="s">
        <v>67</v>
      </c>
      <c r="AN28" s="516" t="s">
        <v>66</v>
      </c>
      <c r="AO28" s="515" t="s">
        <v>67</v>
      </c>
      <c r="AP28" s="515" t="s">
        <v>67</v>
      </c>
      <c r="AQ28" s="515" t="s">
        <v>67</v>
      </c>
      <c r="AR28" s="516" t="s">
        <v>66</v>
      </c>
      <c r="AS28" s="515" t="s">
        <v>67</v>
      </c>
      <c r="AT28" s="515" t="s">
        <v>67</v>
      </c>
      <c r="AU28" s="515" t="s">
        <v>67</v>
      </c>
      <c r="AV28" s="26"/>
      <c r="AW28" s="26"/>
      <c r="AX28" s="26"/>
      <c r="AY28" s="26"/>
      <c r="AZ28" s="26"/>
      <c r="BA28" s="26"/>
      <c r="BB28" s="26"/>
      <c r="BC28" s="26"/>
      <c r="BD28" s="26"/>
      <c r="BE28" s="26"/>
      <c r="BF28" s="26"/>
      <c r="BG28" s="26"/>
      <c r="BH28" s="26"/>
    </row>
    <row r="29" spans="1:60" ht="14.25" customHeight="1">
      <c r="A29" s="295">
        <v>6</v>
      </c>
      <c r="B29" s="288" t="s">
        <v>130</v>
      </c>
      <c r="C29" s="37" t="s">
        <v>131</v>
      </c>
      <c r="D29" s="37" t="s">
        <v>132</v>
      </c>
      <c r="E29" s="20"/>
      <c r="F29" s="195" t="s">
        <v>71</v>
      </c>
      <c r="G29" s="196" t="s">
        <v>72</v>
      </c>
      <c r="H29" s="196" t="s">
        <v>72</v>
      </c>
      <c r="I29" s="196" t="s">
        <v>72</v>
      </c>
      <c r="J29" s="196" t="s">
        <v>72</v>
      </c>
      <c r="K29" s="196" t="s">
        <v>72</v>
      </c>
      <c r="L29" s="196" t="s">
        <v>72</v>
      </c>
      <c r="M29" s="196" t="s">
        <v>72</v>
      </c>
      <c r="N29" s="196" t="s">
        <v>72</v>
      </c>
      <c r="O29" s="196" t="s">
        <v>72</v>
      </c>
      <c r="P29" s="196" t="s">
        <v>72</v>
      </c>
      <c r="Q29" s="196" t="s">
        <v>72</v>
      </c>
      <c r="R29" s="196" t="s">
        <v>72</v>
      </c>
      <c r="S29" s="196" t="s">
        <v>72</v>
      </c>
      <c r="T29" s="196" t="s">
        <v>72</v>
      </c>
      <c r="U29" s="196" t="s">
        <v>72</v>
      </c>
      <c r="V29" s="196" t="s">
        <v>72</v>
      </c>
      <c r="W29" s="196" t="s">
        <v>72</v>
      </c>
      <c r="X29" s="196" t="s">
        <v>72</v>
      </c>
      <c r="Y29" s="196" t="s">
        <v>72</v>
      </c>
      <c r="Z29" s="195" t="s">
        <v>96</v>
      </c>
      <c r="AA29" s="195" t="s">
        <v>96</v>
      </c>
      <c r="AB29" s="196" t="s">
        <v>72</v>
      </c>
      <c r="AC29" s="196" t="s">
        <v>72</v>
      </c>
      <c r="AD29" s="196" t="s">
        <v>72</v>
      </c>
      <c r="AE29" s="196" t="s">
        <v>96</v>
      </c>
      <c r="AF29" s="196" t="s">
        <v>72</v>
      </c>
      <c r="AG29" s="198" t="s">
        <v>0</v>
      </c>
      <c r="AH29" s="196" t="s">
        <v>129</v>
      </c>
      <c r="AI29" s="197">
        <v>2.5</v>
      </c>
      <c r="AJ29" s="512"/>
      <c r="AK29" s="512"/>
      <c r="AL29" s="512"/>
      <c r="AM29" s="512"/>
      <c r="AN29" s="512"/>
      <c r="AO29" s="512"/>
      <c r="AP29" s="512"/>
      <c r="AQ29" s="512"/>
      <c r="AR29" s="512"/>
      <c r="AS29" s="512"/>
      <c r="AT29" s="512"/>
      <c r="AU29" s="512"/>
      <c r="AV29" s="26"/>
      <c r="AW29" s="26"/>
      <c r="AX29" s="26"/>
      <c r="AY29" s="26"/>
      <c r="AZ29" s="26"/>
      <c r="BA29" s="26"/>
      <c r="BB29" s="26"/>
      <c r="BC29" s="26"/>
      <c r="BD29" s="26"/>
      <c r="BE29" s="26"/>
      <c r="BF29" s="26"/>
      <c r="BG29" s="26"/>
      <c r="BH29" s="26"/>
    </row>
    <row r="30" spans="1:60" ht="14.25" customHeight="1">
      <c r="A30" s="295">
        <v>7</v>
      </c>
      <c r="B30" s="31" t="s">
        <v>133</v>
      </c>
      <c r="C30" s="37" t="s">
        <v>134</v>
      </c>
      <c r="D30" s="37" t="s">
        <v>135</v>
      </c>
      <c r="E30" s="20"/>
      <c r="F30" s="195" t="s">
        <v>71</v>
      </c>
      <c r="G30" s="196" t="s">
        <v>72</v>
      </c>
      <c r="H30" s="196" t="s">
        <v>72</v>
      </c>
      <c r="I30" s="196" t="s">
        <v>72</v>
      </c>
      <c r="J30" s="196" t="s">
        <v>72</v>
      </c>
      <c r="K30" s="196" t="s">
        <v>72</v>
      </c>
      <c r="L30" s="196" t="s">
        <v>72</v>
      </c>
      <c r="M30" s="196" t="s">
        <v>72</v>
      </c>
      <c r="N30" s="196" t="s">
        <v>72</v>
      </c>
      <c r="O30" s="196" t="s">
        <v>72</v>
      </c>
      <c r="P30" s="196" t="s">
        <v>72</v>
      </c>
      <c r="Q30" s="196" t="s">
        <v>72</v>
      </c>
      <c r="R30" s="196" t="s">
        <v>72</v>
      </c>
      <c r="S30" s="196" t="s">
        <v>72</v>
      </c>
      <c r="T30" s="196" t="s">
        <v>72</v>
      </c>
      <c r="U30" s="196" t="s">
        <v>72</v>
      </c>
      <c r="V30" s="196" t="s">
        <v>72</v>
      </c>
      <c r="W30" s="196" t="s">
        <v>72</v>
      </c>
      <c r="X30" s="196" t="s">
        <v>72</v>
      </c>
      <c r="Y30" s="196" t="s">
        <v>72</v>
      </c>
      <c r="Z30" s="195" t="s">
        <v>96</v>
      </c>
      <c r="AA30" s="195" t="s">
        <v>96</v>
      </c>
      <c r="AB30" s="196" t="s">
        <v>72</v>
      </c>
      <c r="AC30" s="196" t="s">
        <v>72</v>
      </c>
      <c r="AD30" s="196" t="s">
        <v>72</v>
      </c>
      <c r="AE30" s="196" t="s">
        <v>96</v>
      </c>
      <c r="AF30" s="196" t="s">
        <v>72</v>
      </c>
      <c r="AG30" s="198" t="s">
        <v>0</v>
      </c>
      <c r="AH30" s="196" t="s">
        <v>129</v>
      </c>
      <c r="AI30" s="197"/>
      <c r="AJ30" s="512"/>
      <c r="AK30" s="512"/>
      <c r="AL30" s="512"/>
      <c r="AM30" s="512"/>
      <c r="AN30" s="512"/>
      <c r="AO30" s="512"/>
      <c r="AP30" s="512"/>
      <c r="AQ30" s="512"/>
      <c r="AR30" s="512"/>
      <c r="AS30" s="512"/>
      <c r="AT30" s="512"/>
      <c r="AU30" s="512"/>
      <c r="AV30" s="26"/>
      <c r="AW30" s="26"/>
      <c r="AX30" s="26"/>
      <c r="AY30" s="26"/>
      <c r="AZ30" s="26"/>
      <c r="BA30" s="26"/>
      <c r="BB30" s="26"/>
      <c r="BC30" s="26"/>
      <c r="BD30" s="26"/>
      <c r="BE30" s="26"/>
      <c r="BF30" s="26"/>
      <c r="BG30" s="26"/>
      <c r="BH30" s="26"/>
    </row>
    <row r="31" spans="1:60" ht="14.25" customHeight="1">
      <c r="A31" s="295">
        <v>8</v>
      </c>
      <c r="B31" s="37" t="s">
        <v>136</v>
      </c>
      <c r="C31" s="37" t="s">
        <v>137</v>
      </c>
      <c r="D31" s="37" t="s">
        <v>138</v>
      </c>
      <c r="E31" s="20"/>
      <c r="F31" s="195" t="s">
        <v>71</v>
      </c>
      <c r="G31" s="196" t="s">
        <v>72</v>
      </c>
      <c r="H31" s="196" t="s">
        <v>72</v>
      </c>
      <c r="I31" s="196" t="s">
        <v>72</v>
      </c>
      <c r="J31" s="196" t="s">
        <v>72</v>
      </c>
      <c r="K31" s="196" t="s">
        <v>72</v>
      </c>
      <c r="L31" s="196" t="s">
        <v>72</v>
      </c>
      <c r="M31" s="196" t="s">
        <v>72</v>
      </c>
      <c r="N31" s="196" t="s">
        <v>72</v>
      </c>
      <c r="O31" s="196" t="s">
        <v>72</v>
      </c>
      <c r="P31" s="196" t="s">
        <v>72</v>
      </c>
      <c r="Q31" s="196" t="s">
        <v>72</v>
      </c>
      <c r="R31" s="196" t="s">
        <v>72</v>
      </c>
      <c r="S31" s="196" t="s">
        <v>72</v>
      </c>
      <c r="T31" s="196" t="s">
        <v>72</v>
      </c>
      <c r="U31" s="196" t="s">
        <v>72</v>
      </c>
      <c r="V31" s="196" t="s">
        <v>72</v>
      </c>
      <c r="W31" s="196" t="s">
        <v>72</v>
      </c>
      <c r="X31" s="196" t="s">
        <v>72</v>
      </c>
      <c r="Y31" s="196" t="s">
        <v>72</v>
      </c>
      <c r="Z31" s="195" t="s">
        <v>96</v>
      </c>
      <c r="AA31" s="195" t="s">
        <v>96</v>
      </c>
      <c r="AB31" s="196" t="s">
        <v>72</v>
      </c>
      <c r="AC31" s="196" t="s">
        <v>72</v>
      </c>
      <c r="AD31" s="196" t="s">
        <v>72</v>
      </c>
      <c r="AE31" s="196" t="s">
        <v>96</v>
      </c>
      <c r="AF31" s="196" t="s">
        <v>72</v>
      </c>
      <c r="AG31" s="198" t="s">
        <v>0</v>
      </c>
      <c r="AH31" s="196"/>
      <c r="AI31" s="197"/>
      <c r="AJ31" s="512"/>
      <c r="AK31" s="512"/>
      <c r="AL31" s="512"/>
      <c r="AM31" s="512"/>
      <c r="AN31" s="512"/>
      <c r="AO31" s="512"/>
      <c r="AP31" s="512"/>
      <c r="AQ31" s="512"/>
      <c r="AR31" s="512"/>
      <c r="AS31" s="512"/>
      <c r="AT31" s="512"/>
      <c r="AU31" s="512"/>
      <c r="AV31" s="26"/>
      <c r="AW31" s="26"/>
      <c r="AX31" s="26"/>
      <c r="AY31" s="26"/>
      <c r="AZ31" s="26"/>
      <c r="BA31" s="26"/>
      <c r="BB31" s="26"/>
      <c r="BC31" s="26"/>
      <c r="BD31" s="26"/>
      <c r="BE31" s="26"/>
      <c r="BF31" s="26"/>
      <c r="BG31" s="26"/>
      <c r="BH31" s="26"/>
    </row>
    <row r="32" spans="1:60" ht="14.25" customHeight="1">
      <c r="A32" s="295">
        <v>9</v>
      </c>
      <c r="B32" s="37" t="s">
        <v>139</v>
      </c>
      <c r="C32" s="37" t="s">
        <v>140</v>
      </c>
      <c r="D32" s="31" t="s">
        <v>141</v>
      </c>
      <c r="E32" s="20"/>
      <c r="F32" s="195" t="s">
        <v>71</v>
      </c>
      <c r="G32" s="196" t="s">
        <v>72</v>
      </c>
      <c r="H32" s="196" t="s">
        <v>72</v>
      </c>
      <c r="I32" s="196" t="s">
        <v>72</v>
      </c>
      <c r="J32" s="196" t="s">
        <v>72</v>
      </c>
      <c r="K32" s="196" t="s">
        <v>72</v>
      </c>
      <c r="L32" s="196" t="s">
        <v>72</v>
      </c>
      <c r="M32" s="196" t="s">
        <v>72</v>
      </c>
      <c r="N32" s="196" t="s">
        <v>72</v>
      </c>
      <c r="O32" s="196" t="s">
        <v>72</v>
      </c>
      <c r="P32" s="196" t="s">
        <v>72</v>
      </c>
      <c r="Q32" s="196" t="s">
        <v>72</v>
      </c>
      <c r="R32" s="196" t="s">
        <v>72</v>
      </c>
      <c r="S32" s="196" t="s">
        <v>72</v>
      </c>
      <c r="T32" s="196" t="s">
        <v>72</v>
      </c>
      <c r="U32" s="196" t="s">
        <v>72</v>
      </c>
      <c r="V32" s="196" t="s">
        <v>72</v>
      </c>
      <c r="W32" s="196" t="s">
        <v>72</v>
      </c>
      <c r="X32" s="196" t="s">
        <v>72</v>
      </c>
      <c r="Y32" s="196" t="s">
        <v>72</v>
      </c>
      <c r="Z32" s="195" t="s">
        <v>96</v>
      </c>
      <c r="AA32" s="195" t="s">
        <v>96</v>
      </c>
      <c r="AB32" s="196" t="s">
        <v>72</v>
      </c>
      <c r="AC32" s="196" t="s">
        <v>72</v>
      </c>
      <c r="AD32" s="196" t="s">
        <v>72</v>
      </c>
      <c r="AE32" s="196" t="s">
        <v>96</v>
      </c>
      <c r="AF32" s="196" t="s">
        <v>72</v>
      </c>
      <c r="AG32" s="198" t="s">
        <v>0</v>
      </c>
      <c r="AH32" s="196"/>
      <c r="AI32" s="197"/>
      <c r="AJ32" s="512"/>
      <c r="AK32" s="512"/>
      <c r="AL32" s="512"/>
      <c r="AM32" s="512"/>
      <c r="AN32" s="512"/>
      <c r="AO32" s="512"/>
      <c r="AP32" s="512"/>
      <c r="AQ32" s="512"/>
      <c r="AR32" s="512"/>
      <c r="AS32" s="512"/>
      <c r="AT32" s="512"/>
      <c r="AU32" s="512"/>
      <c r="AV32" s="26"/>
      <c r="AW32" s="26"/>
      <c r="AX32" s="26"/>
      <c r="AY32" s="26"/>
      <c r="AZ32" s="26"/>
      <c r="BA32" s="26"/>
      <c r="BB32" s="26"/>
      <c r="BC32" s="26"/>
      <c r="BD32" s="26"/>
      <c r="BE32" s="26"/>
      <c r="BF32" s="26"/>
      <c r="BG32" s="26"/>
      <c r="BH32" s="26"/>
    </row>
    <row r="33" spans="1:60" ht="14.25" customHeight="1">
      <c r="A33" s="295">
        <v>10</v>
      </c>
      <c r="B33" s="37" t="s">
        <v>142</v>
      </c>
      <c r="C33" s="37" t="s">
        <v>143</v>
      </c>
      <c r="D33" s="37" t="s">
        <v>144</v>
      </c>
      <c r="E33" s="20"/>
      <c r="F33" s="195" t="s">
        <v>71</v>
      </c>
      <c r="G33" s="196" t="s">
        <v>72</v>
      </c>
      <c r="H33" s="196" t="s">
        <v>72</v>
      </c>
      <c r="I33" s="196" t="s">
        <v>72</v>
      </c>
      <c r="J33" s="196" t="s">
        <v>72</v>
      </c>
      <c r="K33" s="196" t="s">
        <v>72</v>
      </c>
      <c r="L33" s="196" t="s">
        <v>72</v>
      </c>
      <c r="M33" s="196" t="s">
        <v>72</v>
      </c>
      <c r="N33" s="196" t="s">
        <v>72</v>
      </c>
      <c r="O33" s="196" t="s">
        <v>72</v>
      </c>
      <c r="P33" s="196" t="s">
        <v>72</v>
      </c>
      <c r="Q33" s="196" t="s">
        <v>72</v>
      </c>
      <c r="R33" s="196" t="s">
        <v>72</v>
      </c>
      <c r="S33" s="196" t="s">
        <v>72</v>
      </c>
      <c r="T33" s="196" t="s">
        <v>72</v>
      </c>
      <c r="U33" s="196" t="s">
        <v>72</v>
      </c>
      <c r="V33" s="196" t="s">
        <v>72</v>
      </c>
      <c r="W33" s="196" t="s">
        <v>72</v>
      </c>
      <c r="X33" s="196" t="s">
        <v>72</v>
      </c>
      <c r="Y33" s="196" t="s">
        <v>72</v>
      </c>
      <c r="Z33" s="195" t="s">
        <v>96</v>
      </c>
      <c r="AA33" s="195" t="s">
        <v>96</v>
      </c>
      <c r="AB33" s="196" t="s">
        <v>72</v>
      </c>
      <c r="AC33" s="196" t="s">
        <v>72</v>
      </c>
      <c r="AD33" s="196" t="s">
        <v>72</v>
      </c>
      <c r="AE33" s="196" t="s">
        <v>96</v>
      </c>
      <c r="AF33" s="196" t="s">
        <v>72</v>
      </c>
      <c r="AG33" s="198" t="s">
        <v>0</v>
      </c>
      <c r="AH33" s="196"/>
      <c r="AI33" s="197"/>
      <c r="AJ33" s="513"/>
      <c r="AK33" s="513"/>
      <c r="AL33" s="513"/>
      <c r="AM33" s="513"/>
      <c r="AN33" s="513"/>
      <c r="AO33" s="513"/>
      <c r="AP33" s="513"/>
      <c r="AQ33" s="513"/>
      <c r="AR33" s="513"/>
      <c r="AS33" s="513"/>
      <c r="AT33" s="513"/>
      <c r="AU33" s="513"/>
      <c r="AV33" s="26"/>
      <c r="AW33" s="26"/>
      <c r="AX33" s="26"/>
      <c r="AY33" s="26"/>
      <c r="AZ33" s="26"/>
      <c r="BA33" s="26"/>
      <c r="BB33" s="26"/>
      <c r="BC33" s="26"/>
      <c r="BD33" s="26"/>
      <c r="BE33" s="26"/>
      <c r="BF33" s="26"/>
      <c r="BG33" s="26"/>
      <c r="BH33" s="26"/>
    </row>
    <row r="34" spans="1:60" ht="14.25" customHeight="1">
      <c r="A34" s="295">
        <v>11</v>
      </c>
      <c r="B34" s="31" t="s">
        <v>145</v>
      </c>
      <c r="C34" s="37" t="s">
        <v>146</v>
      </c>
      <c r="D34" s="37" t="s">
        <v>147</v>
      </c>
      <c r="E34" s="20"/>
      <c r="F34" s="195" t="s">
        <v>71</v>
      </c>
      <c r="G34" s="196" t="s">
        <v>72</v>
      </c>
      <c r="H34" s="196" t="s">
        <v>72</v>
      </c>
      <c r="I34" s="196" t="s">
        <v>72</v>
      </c>
      <c r="J34" s="196" t="s">
        <v>72</v>
      </c>
      <c r="K34" s="196" t="s">
        <v>72</v>
      </c>
      <c r="L34" s="196" t="s">
        <v>72</v>
      </c>
      <c r="M34" s="196" t="s">
        <v>72</v>
      </c>
      <c r="N34" s="196" t="s">
        <v>72</v>
      </c>
      <c r="O34" s="196" t="s">
        <v>72</v>
      </c>
      <c r="P34" s="196" t="s">
        <v>72</v>
      </c>
      <c r="Q34" s="196" t="s">
        <v>72</v>
      </c>
      <c r="R34" s="196" t="s">
        <v>72</v>
      </c>
      <c r="S34" s="196" t="s">
        <v>72</v>
      </c>
      <c r="T34" s="196" t="s">
        <v>72</v>
      </c>
      <c r="U34" s="196" t="s">
        <v>72</v>
      </c>
      <c r="V34" s="196" t="s">
        <v>72</v>
      </c>
      <c r="W34" s="196" t="s">
        <v>72</v>
      </c>
      <c r="X34" s="196" t="s">
        <v>72</v>
      </c>
      <c r="Y34" s="196" t="s">
        <v>72</v>
      </c>
      <c r="Z34" s="195" t="s">
        <v>96</v>
      </c>
      <c r="AA34" s="195" t="s">
        <v>96</v>
      </c>
      <c r="AB34" s="196" t="s">
        <v>72</v>
      </c>
      <c r="AC34" s="196" t="s">
        <v>72</v>
      </c>
      <c r="AD34" s="196" t="s">
        <v>72</v>
      </c>
      <c r="AE34" s="196" t="s">
        <v>96</v>
      </c>
      <c r="AF34" s="196" t="s">
        <v>72</v>
      </c>
      <c r="AG34" s="198" t="s">
        <v>0</v>
      </c>
      <c r="AH34" s="196" t="s">
        <v>129</v>
      </c>
      <c r="AI34" s="197"/>
      <c r="AJ34" s="32" t="s">
        <v>99</v>
      </c>
      <c r="AK34" s="33" t="s">
        <v>67</v>
      </c>
      <c r="AL34" s="34" t="s">
        <v>66</v>
      </c>
      <c r="AM34" s="33" t="s">
        <v>67</v>
      </c>
      <c r="AN34" s="34" t="s">
        <v>66</v>
      </c>
      <c r="AO34" s="34" t="s">
        <v>66</v>
      </c>
      <c r="AP34" s="33" t="s">
        <v>67</v>
      </c>
      <c r="AQ34" s="33" t="s">
        <v>67</v>
      </c>
      <c r="AR34" s="34" t="s">
        <v>66</v>
      </c>
      <c r="AS34" s="33" t="s">
        <v>67</v>
      </c>
      <c r="AT34" s="33" t="s">
        <v>66</v>
      </c>
      <c r="AU34" s="33" t="s">
        <v>66</v>
      </c>
      <c r="AV34" s="26"/>
      <c r="AW34" s="26"/>
      <c r="AX34" s="26"/>
      <c r="AY34" s="26"/>
      <c r="AZ34" s="26"/>
      <c r="BA34" s="26"/>
      <c r="BB34" s="26"/>
      <c r="BC34" s="26"/>
      <c r="BD34" s="26"/>
      <c r="BE34" s="26"/>
      <c r="BF34" s="26"/>
      <c r="BG34" s="26"/>
      <c r="BH34" s="26"/>
    </row>
    <row r="35" spans="1:60" ht="14.25" customHeight="1">
      <c r="A35" s="295">
        <v>12</v>
      </c>
      <c r="B35" s="37" t="s">
        <v>148</v>
      </c>
      <c r="C35" s="37"/>
      <c r="D35" s="37"/>
      <c r="E35" s="20"/>
      <c r="F35" s="199"/>
      <c r="G35" s="199"/>
      <c r="H35" s="199"/>
      <c r="I35" s="199"/>
      <c r="J35" s="199"/>
      <c r="K35" s="199"/>
      <c r="L35" s="199"/>
      <c r="M35" s="199"/>
      <c r="N35" s="199"/>
      <c r="O35" s="199"/>
      <c r="P35" s="199"/>
      <c r="Q35" s="199"/>
      <c r="R35" s="199"/>
      <c r="S35" s="199"/>
      <c r="T35" s="199"/>
      <c r="U35" s="199"/>
      <c r="V35" s="199"/>
      <c r="W35" s="199"/>
      <c r="X35" s="199"/>
      <c r="Y35" s="199"/>
      <c r="Z35" s="199"/>
      <c r="AA35" s="199"/>
      <c r="AB35" s="199"/>
      <c r="AC35" s="199"/>
      <c r="AD35" s="199"/>
      <c r="AE35" s="199"/>
      <c r="AF35" s="199"/>
      <c r="AG35" s="198"/>
      <c r="AH35" s="196"/>
      <c r="AI35" s="197"/>
      <c r="AJ35" s="32"/>
      <c r="AK35" s="33"/>
      <c r="AL35" s="34"/>
      <c r="AM35" s="33"/>
      <c r="AN35" s="34"/>
      <c r="AO35" s="33"/>
      <c r="AP35" s="33"/>
      <c r="AQ35" s="33"/>
      <c r="AR35" s="33"/>
      <c r="AS35" s="33"/>
      <c r="AT35" s="33"/>
      <c r="AU35" s="33"/>
      <c r="AV35" s="26"/>
      <c r="AW35" s="26"/>
      <c r="AX35" s="26"/>
      <c r="AY35" s="26"/>
      <c r="AZ35" s="26"/>
      <c r="BA35" s="26"/>
      <c r="BB35" s="26"/>
      <c r="BC35" s="26"/>
      <c r="BD35" s="26"/>
      <c r="BE35" s="26"/>
      <c r="BF35" s="26"/>
      <c r="BG35" s="26"/>
      <c r="BH35" s="26"/>
    </row>
    <row r="36" spans="1:60" ht="14.25" customHeight="1">
      <c r="A36" s="43" t="s">
        <v>149</v>
      </c>
      <c r="B36" s="24" t="s">
        <v>150</v>
      </c>
      <c r="C36" s="25"/>
      <c r="D36" s="25"/>
      <c r="E36" s="20"/>
      <c r="F36" s="199"/>
      <c r="G36" s="199"/>
      <c r="H36" s="199"/>
      <c r="I36" s="199"/>
      <c r="J36" s="199"/>
      <c r="K36" s="199"/>
      <c r="L36" s="199"/>
      <c r="M36" s="199"/>
      <c r="N36" s="199"/>
      <c r="O36" s="199"/>
      <c r="P36" s="199"/>
      <c r="Q36" s="199"/>
      <c r="R36" s="199"/>
      <c r="S36" s="199"/>
      <c r="T36" s="199"/>
      <c r="U36" s="199"/>
      <c r="V36" s="199"/>
      <c r="W36" s="199"/>
      <c r="X36" s="199"/>
      <c r="Y36" s="199"/>
      <c r="Z36" s="199"/>
      <c r="AA36" s="199"/>
      <c r="AB36" s="199"/>
      <c r="AC36" s="199"/>
      <c r="AD36" s="199"/>
      <c r="AE36" s="199"/>
      <c r="AF36" s="199"/>
      <c r="AG36" s="198"/>
      <c r="AH36" s="196"/>
      <c r="AI36" s="197"/>
      <c r="AJ36" s="25"/>
      <c r="AK36" s="25"/>
      <c r="AL36" s="25"/>
      <c r="AM36" s="25"/>
      <c r="AN36" s="25"/>
      <c r="AO36" s="25"/>
      <c r="AP36" s="25"/>
      <c r="AQ36" s="25"/>
      <c r="AR36" s="25"/>
      <c r="AS36" s="25"/>
      <c r="AT36" s="25"/>
      <c r="AU36" s="25"/>
      <c r="AV36" s="26"/>
      <c r="AW36" s="26"/>
      <c r="AX36" s="26"/>
      <c r="AY36" s="26"/>
      <c r="AZ36" s="26"/>
      <c r="BA36" s="26"/>
      <c r="BB36" s="26"/>
      <c r="BC36" s="26"/>
      <c r="BD36" s="26"/>
      <c r="BE36" s="26"/>
      <c r="BF36" s="26"/>
      <c r="BG36" s="26"/>
      <c r="BH36" s="26"/>
    </row>
    <row r="37" spans="1:60" ht="14.25" customHeight="1">
      <c r="A37" s="295">
        <v>1</v>
      </c>
      <c r="B37" s="37" t="s">
        <v>151</v>
      </c>
      <c r="C37" s="37" t="s">
        <v>152</v>
      </c>
      <c r="D37" s="37" t="s">
        <v>153</v>
      </c>
      <c r="E37" s="20"/>
      <c r="F37" s="196" t="s">
        <v>72</v>
      </c>
      <c r="G37" s="196" t="s">
        <v>72</v>
      </c>
      <c r="H37" s="196" t="s">
        <v>72</v>
      </c>
      <c r="I37" s="196" t="s">
        <v>72</v>
      </c>
      <c r="J37" s="196" t="s">
        <v>72</v>
      </c>
      <c r="K37" s="196" t="s">
        <v>72</v>
      </c>
      <c r="L37" s="196" t="s">
        <v>72</v>
      </c>
      <c r="M37" s="196" t="s">
        <v>72</v>
      </c>
      <c r="N37" s="196" t="s">
        <v>72</v>
      </c>
      <c r="O37" s="196" t="s">
        <v>72</v>
      </c>
      <c r="P37" s="196" t="s">
        <v>72</v>
      </c>
      <c r="Q37" s="196" t="s">
        <v>72</v>
      </c>
      <c r="R37" s="196" t="s">
        <v>72</v>
      </c>
      <c r="S37" s="196" t="s">
        <v>72</v>
      </c>
      <c r="T37" s="196" t="s">
        <v>72</v>
      </c>
      <c r="U37" s="196" t="s">
        <v>72</v>
      </c>
      <c r="V37" s="196" t="s">
        <v>72</v>
      </c>
      <c r="W37" s="196" t="s">
        <v>72</v>
      </c>
      <c r="X37" s="196" t="s">
        <v>72</v>
      </c>
      <c r="Y37" s="196" t="s">
        <v>72</v>
      </c>
      <c r="Z37" s="195" t="s">
        <v>96</v>
      </c>
      <c r="AA37" s="195" t="s">
        <v>96</v>
      </c>
      <c r="AB37" s="196" t="s">
        <v>72</v>
      </c>
      <c r="AC37" s="196" t="s">
        <v>72</v>
      </c>
      <c r="AD37" s="196" t="s">
        <v>72</v>
      </c>
      <c r="AE37" s="196" t="s">
        <v>96</v>
      </c>
      <c r="AF37" s="196" t="s">
        <v>72</v>
      </c>
      <c r="AG37" s="198" t="s">
        <v>0</v>
      </c>
      <c r="AH37" s="196"/>
      <c r="AI37" s="197"/>
      <c r="AJ37" s="515" t="s">
        <v>154</v>
      </c>
      <c r="AK37" s="516" t="s">
        <v>66</v>
      </c>
      <c r="AL37" s="516" t="s">
        <v>66</v>
      </c>
      <c r="AM37" s="516" t="s">
        <v>66</v>
      </c>
      <c r="AN37" s="516" t="s">
        <v>66</v>
      </c>
      <c r="AO37" s="516" t="s">
        <v>66</v>
      </c>
      <c r="AP37" s="516" t="s">
        <v>66</v>
      </c>
      <c r="AQ37" s="516" t="s">
        <v>66</v>
      </c>
      <c r="AR37" s="516" t="s">
        <v>66</v>
      </c>
      <c r="AS37" s="516" t="s">
        <v>66</v>
      </c>
      <c r="AT37" s="516" t="s">
        <v>66</v>
      </c>
      <c r="AU37" s="516" t="s">
        <v>66</v>
      </c>
      <c r="AV37" s="26"/>
      <c r="AW37" s="26"/>
      <c r="AX37" s="26"/>
      <c r="AY37" s="26"/>
      <c r="AZ37" s="26"/>
      <c r="BA37" s="26"/>
      <c r="BB37" s="26"/>
      <c r="BC37" s="26"/>
      <c r="BD37" s="26"/>
      <c r="BE37" s="26"/>
      <c r="BF37" s="26"/>
      <c r="BG37" s="26"/>
      <c r="BH37" s="26"/>
    </row>
    <row r="38" spans="1:60" ht="14.25" customHeight="1">
      <c r="A38" s="295">
        <v>2</v>
      </c>
      <c r="B38" s="37" t="s">
        <v>155</v>
      </c>
      <c r="C38" s="37" t="s">
        <v>156</v>
      </c>
      <c r="D38" s="37" t="s">
        <v>157</v>
      </c>
      <c r="E38" s="20"/>
      <c r="F38" s="196" t="s">
        <v>72</v>
      </c>
      <c r="G38" s="196" t="s">
        <v>72</v>
      </c>
      <c r="H38" s="196" t="s">
        <v>72</v>
      </c>
      <c r="I38" s="196" t="s">
        <v>72</v>
      </c>
      <c r="J38" s="196" t="s">
        <v>72</v>
      </c>
      <c r="K38" s="196" t="s">
        <v>72</v>
      </c>
      <c r="L38" s="196" t="s">
        <v>72</v>
      </c>
      <c r="M38" s="196" t="s">
        <v>72</v>
      </c>
      <c r="N38" s="196" t="s">
        <v>72</v>
      </c>
      <c r="O38" s="196" t="s">
        <v>72</v>
      </c>
      <c r="P38" s="196" t="s">
        <v>72</v>
      </c>
      <c r="Q38" s="196" t="s">
        <v>72</v>
      </c>
      <c r="R38" s="196" t="s">
        <v>72</v>
      </c>
      <c r="S38" s="196" t="s">
        <v>72</v>
      </c>
      <c r="T38" s="196" t="s">
        <v>72</v>
      </c>
      <c r="U38" s="196" t="s">
        <v>72</v>
      </c>
      <c r="V38" s="196" t="s">
        <v>72</v>
      </c>
      <c r="W38" s="196" t="s">
        <v>72</v>
      </c>
      <c r="X38" s="196" t="s">
        <v>72</v>
      </c>
      <c r="Y38" s="196" t="s">
        <v>72</v>
      </c>
      <c r="Z38" s="195" t="s">
        <v>96</v>
      </c>
      <c r="AA38" s="195" t="s">
        <v>96</v>
      </c>
      <c r="AB38" s="196" t="s">
        <v>72</v>
      </c>
      <c r="AC38" s="196" t="s">
        <v>72</v>
      </c>
      <c r="AD38" s="196" t="s">
        <v>72</v>
      </c>
      <c r="AE38" s="196" t="s">
        <v>96</v>
      </c>
      <c r="AF38" s="196" t="s">
        <v>72</v>
      </c>
      <c r="AG38" s="198" t="s">
        <v>0</v>
      </c>
      <c r="AH38" s="196"/>
      <c r="AI38" s="197"/>
      <c r="AJ38" s="512"/>
      <c r="AK38" s="512"/>
      <c r="AL38" s="512"/>
      <c r="AM38" s="512"/>
      <c r="AN38" s="512"/>
      <c r="AO38" s="512"/>
      <c r="AP38" s="512"/>
      <c r="AQ38" s="512"/>
      <c r="AR38" s="512"/>
      <c r="AS38" s="512"/>
      <c r="AT38" s="512"/>
      <c r="AU38" s="512"/>
      <c r="AV38" s="26"/>
      <c r="AW38" s="26"/>
      <c r="AX38" s="26"/>
      <c r="AY38" s="26"/>
      <c r="AZ38" s="26"/>
      <c r="BA38" s="26"/>
      <c r="BB38" s="26"/>
      <c r="BC38" s="26"/>
      <c r="BD38" s="26"/>
      <c r="BE38" s="26"/>
      <c r="BF38" s="26"/>
      <c r="BG38" s="26"/>
      <c r="BH38" s="26"/>
    </row>
    <row r="39" spans="1:60" ht="14.25" customHeight="1">
      <c r="A39" s="296">
        <v>3</v>
      </c>
      <c r="B39" s="297" t="s">
        <v>158</v>
      </c>
      <c r="C39" s="297" t="s">
        <v>159</v>
      </c>
      <c r="D39" s="297" t="s">
        <v>160</v>
      </c>
      <c r="E39" s="290"/>
      <c r="F39" s="291" t="s">
        <v>72</v>
      </c>
      <c r="G39" s="291" t="s">
        <v>72</v>
      </c>
      <c r="H39" s="291" t="s">
        <v>72</v>
      </c>
      <c r="I39" s="291" t="s">
        <v>72</v>
      </c>
      <c r="J39" s="291" t="s">
        <v>72</v>
      </c>
      <c r="K39" s="291" t="s">
        <v>72</v>
      </c>
      <c r="L39" s="291" t="s">
        <v>72</v>
      </c>
      <c r="M39" s="291" t="s">
        <v>72</v>
      </c>
      <c r="N39" s="291" t="s">
        <v>72</v>
      </c>
      <c r="O39" s="291" t="s">
        <v>72</v>
      </c>
      <c r="P39" s="291" t="s">
        <v>72</v>
      </c>
      <c r="Q39" s="291" t="s">
        <v>72</v>
      </c>
      <c r="R39" s="291" t="s">
        <v>72</v>
      </c>
      <c r="S39" s="291" t="s">
        <v>72</v>
      </c>
      <c r="T39" s="291" t="s">
        <v>72</v>
      </c>
      <c r="U39" s="291" t="s">
        <v>72</v>
      </c>
      <c r="V39" s="291" t="s">
        <v>72</v>
      </c>
      <c r="W39" s="291" t="s">
        <v>72</v>
      </c>
      <c r="X39" s="291" t="s">
        <v>72</v>
      </c>
      <c r="Y39" s="291" t="s">
        <v>72</v>
      </c>
      <c r="Z39" s="292" t="s">
        <v>96</v>
      </c>
      <c r="AA39" s="292" t="s">
        <v>96</v>
      </c>
      <c r="AB39" s="291" t="s">
        <v>72</v>
      </c>
      <c r="AC39" s="291" t="s">
        <v>72</v>
      </c>
      <c r="AD39" s="291" t="s">
        <v>72</v>
      </c>
      <c r="AE39" s="291" t="s">
        <v>96</v>
      </c>
      <c r="AF39" s="291" t="s">
        <v>72</v>
      </c>
      <c r="AG39" s="293" t="s">
        <v>0</v>
      </c>
      <c r="AH39" s="291"/>
      <c r="AI39" s="294"/>
      <c r="AJ39" s="512"/>
      <c r="AK39" s="512"/>
      <c r="AL39" s="512"/>
      <c r="AM39" s="512"/>
      <c r="AN39" s="512"/>
      <c r="AO39" s="512"/>
      <c r="AP39" s="512"/>
      <c r="AQ39" s="512"/>
      <c r="AR39" s="512"/>
      <c r="AS39" s="512"/>
      <c r="AT39" s="512"/>
      <c r="AU39" s="512"/>
      <c r="AV39" s="26"/>
      <c r="AW39" s="26"/>
      <c r="AX39" s="26"/>
      <c r="AY39" s="26"/>
      <c r="AZ39" s="26"/>
      <c r="BA39" s="26"/>
      <c r="BB39" s="26"/>
      <c r="BC39" s="26"/>
      <c r="BD39" s="26"/>
      <c r="BE39" s="26"/>
      <c r="BF39" s="26"/>
      <c r="BG39" s="26"/>
      <c r="BH39" s="26"/>
    </row>
    <row r="40" spans="1:60" ht="14.25" customHeight="1">
      <c r="A40" s="301" t="s">
        <v>161</v>
      </c>
      <c r="B40" s="301" t="s">
        <v>162</v>
      </c>
      <c r="C40" s="302"/>
      <c r="D40" s="302"/>
      <c r="E40" s="303"/>
      <c r="F40" s="304"/>
      <c r="G40" s="304"/>
      <c r="H40" s="304"/>
      <c r="I40" s="304"/>
      <c r="J40" s="304"/>
      <c r="K40" s="304"/>
      <c r="L40" s="304"/>
      <c r="M40" s="304"/>
      <c r="N40" s="304"/>
      <c r="O40" s="304"/>
      <c r="P40" s="304"/>
      <c r="Q40" s="304"/>
      <c r="R40" s="304"/>
      <c r="S40" s="304"/>
      <c r="T40" s="304"/>
      <c r="U40" s="304"/>
      <c r="V40" s="304"/>
      <c r="W40" s="304"/>
      <c r="X40" s="304"/>
      <c r="Y40" s="304"/>
      <c r="Z40" s="305"/>
      <c r="AA40" s="305"/>
      <c r="AB40" s="304"/>
      <c r="AC40" s="304"/>
      <c r="AD40" s="304"/>
      <c r="AE40" s="304"/>
      <c r="AF40" s="304"/>
      <c r="AG40" s="306"/>
      <c r="AH40" s="304"/>
      <c r="AI40" s="307"/>
      <c r="AJ40" s="308"/>
      <c r="AK40" s="308"/>
      <c r="AL40" s="308"/>
      <c r="AM40" s="308"/>
      <c r="AN40" s="308"/>
      <c r="AO40" s="308"/>
      <c r="AP40" s="308"/>
      <c r="AQ40" s="308"/>
      <c r="AR40" s="308"/>
      <c r="AS40" s="308"/>
      <c r="AT40" s="308"/>
      <c r="AU40" s="308"/>
      <c r="AV40" s="289"/>
      <c r="AW40" s="289"/>
      <c r="AX40" s="289"/>
      <c r="AY40" s="289"/>
      <c r="AZ40" s="289"/>
      <c r="BA40" s="289"/>
      <c r="BB40" s="289"/>
      <c r="BC40" s="289"/>
      <c r="BD40" s="289"/>
      <c r="BE40" s="289"/>
      <c r="BF40" s="289"/>
      <c r="BG40" s="289"/>
      <c r="BH40" s="289"/>
    </row>
    <row r="41" spans="1:60" ht="14.25" customHeight="1">
      <c r="A41" s="309">
        <v>1</v>
      </c>
      <c r="B41" s="309" t="s">
        <v>163</v>
      </c>
      <c r="C41" s="310"/>
      <c r="D41" s="310"/>
      <c r="E41" s="303"/>
      <c r="F41" s="303"/>
      <c r="G41" s="303"/>
      <c r="H41" s="303"/>
      <c r="I41" s="303"/>
      <c r="J41" s="303"/>
      <c r="K41" s="303"/>
      <c r="L41" s="303"/>
      <c r="M41" s="303"/>
      <c r="N41" s="303"/>
      <c r="O41" s="303"/>
      <c r="P41" s="303"/>
      <c r="Q41" s="303"/>
      <c r="R41" s="303"/>
      <c r="S41" s="303"/>
      <c r="T41" s="303"/>
      <c r="U41" s="303"/>
      <c r="V41" s="303"/>
      <c r="W41" s="303"/>
      <c r="X41" s="303"/>
      <c r="Y41" s="303"/>
      <c r="Z41" s="303"/>
      <c r="AA41" s="303"/>
      <c r="AB41" s="303"/>
      <c r="AC41" s="303"/>
      <c r="AD41" s="303"/>
      <c r="AE41" s="303"/>
      <c r="AF41" s="303"/>
      <c r="AG41" s="303"/>
      <c r="AH41" s="303"/>
      <c r="AJ41" s="311"/>
      <c r="AK41" s="311"/>
      <c r="AL41" s="311"/>
      <c r="AM41" s="311"/>
      <c r="AN41" s="311"/>
      <c r="AO41" s="311"/>
      <c r="AP41" s="311"/>
      <c r="AQ41" s="311"/>
      <c r="AR41" s="311"/>
      <c r="AS41" s="311"/>
      <c r="AT41" s="311"/>
      <c r="AU41" s="311"/>
      <c r="AV41" s="36"/>
      <c r="AW41" s="36"/>
      <c r="AX41" s="36"/>
      <c r="AY41" s="36"/>
      <c r="AZ41" s="36"/>
      <c r="BA41" s="36"/>
      <c r="BB41" s="36"/>
      <c r="BC41" s="36"/>
      <c r="BD41" s="36"/>
      <c r="BE41" s="36"/>
      <c r="BF41" s="36"/>
      <c r="BG41" s="36"/>
      <c r="BH41" s="36"/>
    </row>
    <row r="42" spans="1:60" ht="14.25" customHeight="1">
      <c r="A42" s="309">
        <v>2</v>
      </c>
      <c r="B42" s="309" t="s">
        <v>164</v>
      </c>
      <c r="C42" s="310"/>
      <c r="D42" s="310"/>
      <c r="E42" s="303"/>
      <c r="F42" s="303"/>
      <c r="G42" s="303"/>
      <c r="H42" s="303"/>
      <c r="I42" s="303"/>
      <c r="J42" s="303"/>
      <c r="K42" s="303"/>
      <c r="L42" s="303"/>
      <c r="M42" s="303"/>
      <c r="N42" s="303"/>
      <c r="O42" s="303"/>
      <c r="P42" s="303"/>
      <c r="Q42" s="303"/>
      <c r="R42" s="303"/>
      <c r="S42" s="303"/>
      <c r="T42" s="303"/>
      <c r="U42" s="303"/>
      <c r="V42" s="303"/>
      <c r="W42" s="303"/>
      <c r="X42" s="303"/>
      <c r="Y42" s="303"/>
      <c r="Z42" s="303"/>
      <c r="AA42" s="303"/>
      <c r="AB42" s="303"/>
      <c r="AC42" s="303"/>
      <c r="AD42" s="303"/>
      <c r="AE42" s="303"/>
      <c r="AF42" s="303"/>
      <c r="AG42" s="303"/>
      <c r="AH42" s="303"/>
      <c r="AI42" s="312"/>
      <c r="AJ42" s="311"/>
      <c r="AK42" s="311"/>
      <c r="AL42" s="311"/>
      <c r="AM42" s="311"/>
      <c r="AN42" s="311"/>
      <c r="AO42" s="311"/>
      <c r="AP42" s="311"/>
      <c r="AQ42" s="311"/>
      <c r="AR42" s="311"/>
      <c r="AS42" s="311"/>
      <c r="AT42" s="311"/>
      <c r="AU42" s="311"/>
      <c r="AV42" s="36"/>
      <c r="AW42" s="36"/>
      <c r="AX42" s="36"/>
      <c r="AY42" s="36"/>
      <c r="AZ42" s="36"/>
      <c r="BA42" s="36"/>
      <c r="BB42" s="36"/>
      <c r="BC42" s="36"/>
      <c r="BD42" s="36"/>
      <c r="BE42" s="36"/>
      <c r="BF42" s="36"/>
      <c r="BG42" s="36"/>
      <c r="BH42" s="36"/>
    </row>
    <row r="43" spans="1:60" ht="14.25" customHeight="1">
      <c r="A43" s="309">
        <v>3</v>
      </c>
      <c r="B43" s="309" t="s">
        <v>165</v>
      </c>
      <c r="C43" s="310"/>
      <c r="D43" s="310"/>
      <c r="E43" s="303"/>
      <c r="F43" s="303"/>
      <c r="G43" s="303"/>
      <c r="H43" s="303"/>
      <c r="I43" s="303"/>
      <c r="J43" s="303"/>
      <c r="K43" s="303"/>
      <c r="L43" s="303"/>
      <c r="M43" s="303"/>
      <c r="N43" s="303"/>
      <c r="O43" s="303"/>
      <c r="P43" s="303"/>
      <c r="Q43" s="303"/>
      <c r="R43" s="303"/>
      <c r="S43" s="303"/>
      <c r="T43" s="303"/>
      <c r="U43" s="303"/>
      <c r="V43" s="303"/>
      <c r="W43" s="303"/>
      <c r="X43" s="303"/>
      <c r="Y43" s="303"/>
      <c r="Z43" s="303"/>
      <c r="AA43" s="303"/>
      <c r="AB43" s="303"/>
      <c r="AC43" s="303"/>
      <c r="AD43" s="303"/>
      <c r="AE43" s="303"/>
      <c r="AF43" s="303"/>
      <c r="AG43" s="303"/>
      <c r="AH43" s="303"/>
      <c r="AI43" s="312"/>
      <c r="AJ43" s="311"/>
      <c r="AK43" s="311"/>
      <c r="AL43" s="311"/>
      <c r="AM43" s="311"/>
      <c r="AN43" s="311"/>
      <c r="AO43" s="311"/>
      <c r="AP43" s="311"/>
      <c r="AQ43" s="311"/>
      <c r="AR43" s="311"/>
      <c r="AS43" s="311"/>
      <c r="AT43" s="311"/>
      <c r="AU43" s="311"/>
      <c r="AV43" s="36"/>
      <c r="AW43" s="36"/>
      <c r="AX43" s="36"/>
      <c r="AY43" s="36"/>
      <c r="AZ43" s="36"/>
      <c r="BA43" s="36"/>
      <c r="BB43" s="36"/>
      <c r="BC43" s="36"/>
      <c r="BD43" s="36"/>
      <c r="BE43" s="36"/>
      <c r="BF43" s="36"/>
      <c r="BG43" s="36"/>
      <c r="BH43" s="36"/>
    </row>
    <row r="44" spans="1:60" ht="14.25" customHeight="1">
      <c r="A44" s="41"/>
      <c r="B44" s="35"/>
      <c r="C44" s="35"/>
      <c r="D44" s="3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313">
        <f>SUM(AI10:AI43)</f>
        <v>56.23</v>
      </c>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row>
    <row r="45" spans="1:60" ht="14.25" customHeight="1">
      <c r="A45" s="41"/>
      <c r="B45" s="35"/>
      <c r="C45" s="35"/>
      <c r="D45" s="3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75"/>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row>
    <row r="46" spans="1:60" ht="14.25" customHeight="1">
      <c r="A46" s="41"/>
      <c r="B46" s="35"/>
      <c r="C46" s="35"/>
      <c r="D46" s="3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75"/>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row>
    <row r="47" spans="1:60" ht="14.25" customHeight="1">
      <c r="A47" s="41"/>
      <c r="B47" s="35"/>
      <c r="C47" s="35"/>
      <c r="D47" s="3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75"/>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row>
    <row r="48" spans="1:60" ht="14.25" customHeight="1">
      <c r="A48" s="41"/>
      <c r="B48" s="35"/>
      <c r="C48" s="35"/>
      <c r="D48" s="3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75"/>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row>
    <row r="49" spans="1:60" ht="14.25" customHeight="1">
      <c r="A49" s="41"/>
      <c r="B49" s="35"/>
      <c r="C49" s="35"/>
      <c r="D49" s="3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75"/>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row>
    <row r="50" spans="1:60" ht="14.25" customHeight="1">
      <c r="A50" s="41"/>
      <c r="B50" s="35"/>
      <c r="C50" s="35"/>
      <c r="D50" s="3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75"/>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row>
    <row r="51" spans="1:60" ht="14.25" customHeight="1">
      <c r="A51" s="41"/>
      <c r="B51" s="35"/>
      <c r="C51" s="35"/>
      <c r="D51" s="3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75"/>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row>
    <row r="52" spans="1:60" ht="14.25" customHeight="1">
      <c r="A52" s="41"/>
      <c r="B52" s="35"/>
      <c r="C52" s="35"/>
      <c r="D52" s="3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75"/>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row>
    <row r="53" spans="1:60" ht="14.25" customHeight="1">
      <c r="A53" s="41"/>
      <c r="B53" s="35"/>
      <c r="C53" s="35"/>
      <c r="D53" s="3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75"/>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row>
    <row r="54" spans="1:60" ht="14.25" customHeight="1">
      <c r="A54" s="41"/>
      <c r="B54" s="35"/>
      <c r="C54" s="35"/>
      <c r="D54" s="3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75"/>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row>
    <row r="55" spans="1:60" ht="14.25" customHeight="1">
      <c r="A55" s="41"/>
      <c r="B55" s="35"/>
      <c r="C55" s="35"/>
      <c r="D55" s="3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75"/>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row>
    <row r="56" spans="1:60" ht="14.25" customHeight="1">
      <c r="A56" s="41"/>
      <c r="B56" s="35"/>
      <c r="C56" s="35"/>
      <c r="D56" s="3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75"/>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row>
    <row r="57" spans="1:60" ht="14.25" customHeight="1">
      <c r="A57" s="41"/>
      <c r="B57" s="35"/>
      <c r="C57" s="35"/>
      <c r="D57" s="3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75"/>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row>
    <row r="58" spans="1:60" ht="14.25" customHeight="1">
      <c r="A58" s="41"/>
      <c r="B58" s="35"/>
      <c r="C58" s="35"/>
      <c r="D58" s="3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75"/>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row>
    <row r="59" spans="1:60" ht="14.25" customHeight="1">
      <c r="A59" s="41"/>
      <c r="B59" s="35"/>
      <c r="C59" s="35"/>
      <c r="D59" s="3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75"/>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row>
    <row r="60" spans="1:60" ht="14.25" customHeight="1">
      <c r="A60" s="41"/>
      <c r="B60" s="35"/>
      <c r="C60" s="35"/>
      <c r="D60" s="3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75"/>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row>
    <row r="61" spans="1:60" ht="14.25" customHeight="1">
      <c r="A61" s="41"/>
      <c r="B61" s="35"/>
      <c r="C61" s="35"/>
      <c r="D61" s="3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75"/>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row>
    <row r="62" spans="1:60" ht="14.25" customHeight="1">
      <c r="A62" s="41"/>
      <c r="B62" s="35"/>
      <c r="C62" s="35"/>
      <c r="D62" s="3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75"/>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row>
    <row r="63" spans="1:60" ht="14.25" customHeight="1">
      <c r="A63" s="41"/>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75"/>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row>
    <row r="64" spans="1:60" ht="14.25" customHeight="1">
      <c r="A64" s="41"/>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75"/>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row>
    <row r="65" spans="1:60" ht="14.25" customHeight="1">
      <c r="A65" s="41"/>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75"/>
      <c r="AJ65" s="36"/>
      <c r="AK65" s="36"/>
      <c r="AL65" s="36"/>
      <c r="AM65" s="36"/>
      <c r="AN65" s="36"/>
      <c r="AO65" s="36"/>
      <c r="AP65" s="36"/>
      <c r="AQ65" s="36"/>
      <c r="AR65" s="36"/>
      <c r="AS65" s="36"/>
      <c r="AT65" s="36"/>
      <c r="AU65" s="15"/>
      <c r="AV65" s="15"/>
      <c r="AW65" s="15"/>
      <c r="AX65" s="15"/>
      <c r="AY65" s="15"/>
      <c r="AZ65" s="15"/>
      <c r="BA65" s="15"/>
      <c r="BB65" s="15"/>
      <c r="BC65" s="15"/>
      <c r="BD65" s="15"/>
      <c r="BE65" s="15"/>
      <c r="BF65" s="15"/>
      <c r="BG65" s="15"/>
      <c r="BH65" s="15"/>
    </row>
    <row r="66" spans="1:60" ht="14.25" customHeight="1">
      <c r="A66" s="41"/>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75"/>
      <c r="AJ66" s="36"/>
      <c r="AK66" s="36"/>
      <c r="AL66" s="36"/>
      <c r="AM66" s="36"/>
      <c r="AN66" s="36"/>
      <c r="AO66" s="36"/>
      <c r="AP66" s="36"/>
      <c r="AQ66" s="36"/>
      <c r="AR66" s="36"/>
      <c r="AS66" s="36"/>
      <c r="AT66" s="36"/>
      <c r="AU66" s="15"/>
      <c r="AV66" s="15"/>
      <c r="AW66" s="15"/>
      <c r="AX66" s="15"/>
      <c r="AY66" s="15"/>
      <c r="AZ66" s="15"/>
      <c r="BA66" s="15"/>
      <c r="BB66" s="15"/>
      <c r="BC66" s="15"/>
      <c r="BD66" s="15"/>
      <c r="BE66" s="15"/>
      <c r="BF66" s="15"/>
      <c r="BG66" s="15"/>
      <c r="BH66" s="15"/>
    </row>
    <row r="67" spans="1:60" ht="14.25" customHeight="1">
      <c r="A67" s="41"/>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75"/>
      <c r="AJ67" s="36"/>
      <c r="AK67" s="36"/>
      <c r="AL67" s="36"/>
      <c r="AM67" s="36"/>
      <c r="AN67" s="36"/>
      <c r="AO67" s="36"/>
      <c r="AP67" s="36"/>
      <c r="AQ67" s="36"/>
      <c r="AR67" s="36"/>
      <c r="AS67" s="36"/>
      <c r="AT67" s="36"/>
      <c r="AU67" s="15"/>
      <c r="AV67" s="15"/>
      <c r="AW67" s="15"/>
      <c r="AX67" s="15"/>
      <c r="AY67" s="15"/>
      <c r="AZ67" s="15"/>
      <c r="BA67" s="15"/>
      <c r="BB67" s="15"/>
      <c r="BC67" s="15"/>
      <c r="BD67" s="15"/>
      <c r="BE67" s="15"/>
      <c r="BF67" s="15"/>
      <c r="BG67" s="15"/>
      <c r="BH67" s="15"/>
    </row>
    <row r="68" spans="1:60" ht="14.25" customHeight="1">
      <c r="A68" s="41"/>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75"/>
      <c r="AJ68" s="36"/>
      <c r="AK68" s="36"/>
      <c r="AL68" s="36"/>
      <c r="AM68" s="36"/>
      <c r="AN68" s="36"/>
      <c r="AO68" s="36"/>
      <c r="AP68" s="36"/>
      <c r="AQ68" s="36"/>
      <c r="AR68" s="36"/>
      <c r="AS68" s="36"/>
      <c r="AT68" s="36"/>
      <c r="AU68" s="15"/>
      <c r="AV68" s="15"/>
      <c r="AW68" s="15"/>
      <c r="AX68" s="15"/>
      <c r="AY68" s="15"/>
      <c r="AZ68" s="15"/>
      <c r="BA68" s="15"/>
      <c r="BB68" s="15"/>
      <c r="BC68" s="15"/>
      <c r="BD68" s="15"/>
      <c r="BE68" s="15"/>
      <c r="BF68" s="15"/>
      <c r="BG68" s="15"/>
      <c r="BH68" s="15"/>
    </row>
    <row r="69" spans="1:60" ht="14.25" customHeight="1">
      <c r="A69" s="3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74"/>
      <c r="AJ69" s="5"/>
      <c r="AK69" s="5"/>
      <c r="AL69" s="5"/>
      <c r="AM69" s="5"/>
      <c r="AN69" s="5"/>
      <c r="AO69" s="5"/>
      <c r="AP69" s="5"/>
      <c r="AQ69" s="5"/>
      <c r="AR69" s="5"/>
      <c r="AS69" s="5"/>
      <c r="AT69" s="5"/>
      <c r="AU69" s="4"/>
      <c r="AV69" s="4"/>
      <c r="AW69" s="4"/>
      <c r="AX69" s="4"/>
      <c r="AY69" s="4"/>
      <c r="AZ69" s="4"/>
      <c r="BA69" s="4"/>
      <c r="BB69" s="4"/>
      <c r="BC69" s="4"/>
      <c r="BD69" s="4"/>
      <c r="BE69" s="4"/>
      <c r="BF69" s="4"/>
      <c r="BG69" s="4"/>
      <c r="BH69" s="4"/>
    </row>
    <row r="70" spans="1:60" ht="14.25" customHeight="1">
      <c r="A70" s="3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74"/>
      <c r="AJ70" s="5"/>
      <c r="AK70" s="5"/>
      <c r="AL70" s="5"/>
      <c r="AM70" s="5"/>
      <c r="AN70" s="5"/>
      <c r="AO70" s="5"/>
      <c r="AP70" s="5"/>
      <c r="AQ70" s="5"/>
      <c r="AR70" s="5"/>
      <c r="AS70" s="5"/>
      <c r="AT70" s="5"/>
      <c r="AU70" s="4"/>
      <c r="AV70" s="4"/>
      <c r="AW70" s="4"/>
      <c r="AX70" s="4"/>
      <c r="AY70" s="4"/>
      <c r="AZ70" s="4"/>
      <c r="BA70" s="4"/>
      <c r="BB70" s="4"/>
      <c r="BC70" s="4"/>
      <c r="BD70" s="4"/>
      <c r="BE70" s="4"/>
      <c r="BF70" s="4"/>
      <c r="BG70" s="4"/>
      <c r="BH70" s="4"/>
    </row>
    <row r="71" spans="1:60" ht="14.25" customHeight="1">
      <c r="A71" s="3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74"/>
      <c r="AJ71" s="5"/>
      <c r="AK71" s="5"/>
      <c r="AL71" s="5"/>
      <c r="AM71" s="5"/>
      <c r="AN71" s="5"/>
      <c r="AO71" s="5"/>
      <c r="AP71" s="5"/>
      <c r="AQ71" s="5"/>
      <c r="AR71" s="5"/>
      <c r="AS71" s="5"/>
      <c r="AT71" s="5"/>
      <c r="AU71" s="4"/>
      <c r="AV71" s="4"/>
      <c r="AW71" s="4"/>
      <c r="AX71" s="4"/>
      <c r="AY71" s="4"/>
      <c r="AZ71" s="4"/>
      <c r="BA71" s="4"/>
      <c r="BB71" s="4"/>
      <c r="BC71" s="4"/>
      <c r="BD71" s="4"/>
      <c r="BE71" s="4"/>
      <c r="BF71" s="4"/>
      <c r="BG71" s="4"/>
      <c r="BH71" s="4"/>
    </row>
    <row r="72" spans="1:60" ht="14.25" customHeight="1">
      <c r="A72" s="3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74"/>
      <c r="AJ72" s="5"/>
      <c r="AK72" s="5"/>
      <c r="AL72" s="5"/>
      <c r="AM72" s="5"/>
      <c r="AN72" s="5"/>
      <c r="AO72" s="5"/>
      <c r="AP72" s="5"/>
      <c r="AQ72" s="5"/>
      <c r="AR72" s="5"/>
      <c r="AS72" s="5"/>
      <c r="AT72" s="5"/>
      <c r="AU72" s="4"/>
      <c r="AV72" s="4"/>
      <c r="AW72" s="4"/>
      <c r="AX72" s="4"/>
      <c r="AY72" s="4"/>
      <c r="AZ72" s="4"/>
      <c r="BA72" s="4"/>
      <c r="BB72" s="4"/>
      <c r="BC72" s="4"/>
      <c r="BD72" s="4"/>
      <c r="BE72" s="4"/>
      <c r="BF72" s="4"/>
      <c r="BG72" s="4"/>
      <c r="BH72" s="4"/>
    </row>
    <row r="73" spans="1:60" ht="14.25" customHeight="1">
      <c r="A73" s="3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74"/>
      <c r="AJ73" s="5"/>
      <c r="AK73" s="5"/>
      <c r="AL73" s="5"/>
      <c r="AM73" s="5"/>
      <c r="AN73" s="5"/>
      <c r="AO73" s="5"/>
      <c r="AP73" s="5"/>
      <c r="AQ73" s="5"/>
      <c r="AR73" s="5"/>
      <c r="AS73" s="5"/>
      <c r="AT73" s="5"/>
      <c r="AU73" s="4"/>
      <c r="AV73" s="4"/>
      <c r="AW73" s="4"/>
      <c r="AX73" s="4"/>
      <c r="AY73" s="4"/>
      <c r="AZ73" s="4"/>
      <c r="BA73" s="4"/>
      <c r="BB73" s="4"/>
      <c r="BC73" s="4"/>
      <c r="BD73" s="4"/>
      <c r="BE73" s="4"/>
      <c r="BF73" s="4"/>
      <c r="BG73" s="4"/>
      <c r="BH73" s="4"/>
    </row>
    <row r="74" spans="1:60" ht="14.25" customHeight="1">
      <c r="A74" s="3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74"/>
      <c r="AJ74" s="5"/>
      <c r="AK74" s="5"/>
      <c r="AL74" s="5"/>
      <c r="AM74" s="5"/>
      <c r="AN74" s="5"/>
      <c r="AO74" s="5"/>
      <c r="AP74" s="5"/>
      <c r="AQ74" s="5"/>
      <c r="AR74" s="5"/>
      <c r="AS74" s="5"/>
      <c r="AT74" s="5"/>
      <c r="AU74" s="4"/>
      <c r="AV74" s="4"/>
      <c r="AW74" s="4"/>
      <c r="AX74" s="4"/>
      <c r="AY74" s="4"/>
      <c r="AZ74" s="4"/>
      <c r="BA74" s="4"/>
      <c r="BB74" s="4"/>
      <c r="BC74" s="4"/>
      <c r="BD74" s="4"/>
      <c r="BE74" s="4"/>
      <c r="BF74" s="4"/>
      <c r="BG74" s="4"/>
      <c r="BH74" s="4"/>
    </row>
    <row r="75" spans="1:60" ht="14.25" customHeight="1">
      <c r="A75" s="3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74"/>
      <c r="AJ75" s="5"/>
      <c r="AK75" s="5"/>
      <c r="AL75" s="5"/>
      <c r="AM75" s="5"/>
      <c r="AN75" s="5"/>
      <c r="AO75" s="5"/>
      <c r="AP75" s="5"/>
      <c r="AQ75" s="5"/>
      <c r="AR75" s="5"/>
      <c r="AS75" s="5"/>
      <c r="AT75" s="5"/>
      <c r="AU75" s="4"/>
      <c r="AV75" s="4"/>
      <c r="AW75" s="4"/>
      <c r="AX75" s="4"/>
      <c r="AY75" s="4"/>
      <c r="AZ75" s="4"/>
      <c r="BA75" s="4"/>
      <c r="BB75" s="4"/>
      <c r="BC75" s="4"/>
      <c r="BD75" s="4"/>
      <c r="BE75" s="4"/>
      <c r="BF75" s="4"/>
      <c r="BG75" s="4"/>
      <c r="BH75" s="4"/>
    </row>
    <row r="76" spans="1:60" ht="14.25" customHeight="1">
      <c r="AJ76" s="2"/>
      <c r="AK76" s="2"/>
      <c r="AL76" s="2"/>
      <c r="AM76" s="2"/>
      <c r="AN76" s="2"/>
      <c r="AO76" s="2"/>
      <c r="AP76" s="2"/>
      <c r="AQ76" s="2"/>
      <c r="AR76" s="2"/>
      <c r="AS76" s="2"/>
      <c r="AT76" s="2"/>
    </row>
    <row r="77" spans="1:60" ht="14.25" customHeight="1">
      <c r="AJ77" s="2"/>
      <c r="AK77" s="2"/>
      <c r="AL77" s="2"/>
      <c r="AM77" s="2"/>
      <c r="AN77" s="2"/>
      <c r="AO77" s="2"/>
      <c r="AP77" s="2"/>
      <c r="AQ77" s="2"/>
      <c r="AR77" s="2"/>
      <c r="AS77" s="2"/>
      <c r="AT77" s="2"/>
    </row>
    <row r="78" spans="1:60" ht="14.25" customHeight="1">
      <c r="AJ78" s="2"/>
      <c r="AK78" s="2"/>
      <c r="AL78" s="2"/>
      <c r="AM78" s="2"/>
      <c r="AN78" s="2"/>
      <c r="AO78" s="2"/>
      <c r="AP78" s="2"/>
      <c r="AQ78" s="2"/>
      <c r="AR78" s="2"/>
      <c r="AS78" s="2"/>
      <c r="AT78" s="2"/>
    </row>
    <row r="79" spans="1:60" ht="14.25" customHeight="1">
      <c r="AJ79" s="2"/>
      <c r="AK79" s="2"/>
      <c r="AL79" s="2"/>
      <c r="AM79" s="2"/>
      <c r="AN79" s="2"/>
      <c r="AO79" s="2"/>
      <c r="AP79" s="2"/>
      <c r="AQ79" s="2"/>
      <c r="AR79" s="2"/>
      <c r="AS79" s="2"/>
      <c r="AT79" s="2"/>
    </row>
    <row r="80" spans="1:60" ht="14.25" customHeight="1">
      <c r="AJ80" s="2"/>
      <c r="AK80" s="2"/>
      <c r="AL80" s="2"/>
      <c r="AM80" s="2"/>
      <c r="AN80" s="2"/>
      <c r="AO80" s="2"/>
      <c r="AP80" s="2"/>
      <c r="AQ80" s="2"/>
      <c r="AR80" s="2"/>
      <c r="AS80" s="2"/>
      <c r="AT80" s="2"/>
    </row>
    <row r="81" spans="36:46" ht="14.25" customHeight="1">
      <c r="AJ81" s="2"/>
      <c r="AK81" s="2"/>
      <c r="AL81" s="2"/>
      <c r="AM81" s="2"/>
      <c r="AN81" s="2"/>
      <c r="AO81" s="2"/>
      <c r="AP81" s="2"/>
      <c r="AQ81" s="2"/>
      <c r="AR81" s="2"/>
      <c r="AS81" s="2"/>
      <c r="AT81" s="2"/>
    </row>
    <row r="82" spans="36:46" ht="14.25" customHeight="1">
      <c r="AJ82" s="2"/>
      <c r="AK82" s="2"/>
      <c r="AL82" s="2"/>
      <c r="AM82" s="2"/>
      <c r="AN82" s="2"/>
      <c r="AO82" s="2"/>
      <c r="AP82" s="2"/>
      <c r="AQ82" s="2"/>
      <c r="AR82" s="2"/>
      <c r="AS82" s="2"/>
      <c r="AT82" s="2"/>
    </row>
    <row r="83" spans="36:46" ht="14.25" customHeight="1">
      <c r="AJ83" s="2"/>
      <c r="AK83" s="2"/>
      <c r="AL83" s="2"/>
      <c r="AM83" s="2"/>
      <c r="AN83" s="2"/>
      <c r="AO83" s="2"/>
      <c r="AP83" s="2"/>
      <c r="AQ83" s="2"/>
      <c r="AR83" s="2"/>
      <c r="AS83" s="2"/>
      <c r="AT83" s="2"/>
    </row>
    <row r="84" spans="36:46" ht="14.25" customHeight="1">
      <c r="AJ84" s="2"/>
      <c r="AK84" s="2"/>
      <c r="AL84" s="2"/>
      <c r="AM84" s="2"/>
      <c r="AN84" s="2"/>
      <c r="AO84" s="2"/>
      <c r="AP84" s="2"/>
      <c r="AQ84" s="2"/>
      <c r="AR84" s="2"/>
      <c r="AS84" s="2"/>
      <c r="AT84" s="2"/>
    </row>
    <row r="85" spans="36:46" ht="14.25" customHeight="1">
      <c r="AJ85" s="2"/>
      <c r="AK85" s="2"/>
      <c r="AL85" s="2"/>
      <c r="AM85" s="2"/>
      <c r="AN85" s="2"/>
      <c r="AO85" s="2"/>
      <c r="AP85" s="2"/>
      <c r="AQ85" s="2"/>
      <c r="AR85" s="2"/>
      <c r="AS85" s="2"/>
      <c r="AT85" s="2"/>
    </row>
    <row r="86" spans="36:46" ht="14.25" customHeight="1">
      <c r="AJ86" s="2"/>
      <c r="AK86" s="2"/>
      <c r="AL86" s="2"/>
      <c r="AM86" s="2"/>
      <c r="AN86" s="2"/>
      <c r="AO86" s="2"/>
      <c r="AP86" s="2"/>
      <c r="AQ86" s="2"/>
      <c r="AR86" s="2"/>
      <c r="AS86" s="2"/>
      <c r="AT86" s="2"/>
    </row>
    <row r="87" spans="36:46" ht="14.25" customHeight="1">
      <c r="AJ87" s="2"/>
      <c r="AK87" s="2"/>
      <c r="AL87" s="2"/>
      <c r="AM87" s="2"/>
      <c r="AN87" s="2"/>
      <c r="AO87" s="2"/>
      <c r="AP87" s="2"/>
      <c r="AQ87" s="2"/>
      <c r="AR87" s="2"/>
      <c r="AS87" s="2"/>
      <c r="AT87" s="2"/>
    </row>
    <row r="88" spans="36:46" ht="14.25" customHeight="1">
      <c r="AJ88" s="2"/>
      <c r="AK88" s="2"/>
      <c r="AL88" s="2"/>
      <c r="AM88" s="2"/>
      <c r="AN88" s="2"/>
      <c r="AO88" s="2"/>
      <c r="AP88" s="2"/>
      <c r="AQ88" s="2"/>
      <c r="AR88" s="2"/>
      <c r="AS88" s="2"/>
      <c r="AT88" s="2"/>
    </row>
    <row r="89" spans="36:46" ht="14.25" customHeight="1">
      <c r="AJ89" s="2"/>
      <c r="AK89" s="2"/>
      <c r="AL89" s="2"/>
      <c r="AM89" s="2"/>
      <c r="AN89" s="2"/>
      <c r="AO89" s="2"/>
      <c r="AP89" s="2"/>
      <c r="AQ89" s="2"/>
      <c r="AR89" s="2"/>
      <c r="AS89" s="2"/>
      <c r="AT89" s="2"/>
    </row>
    <row r="90" spans="36:46" ht="14.25" customHeight="1">
      <c r="AJ90" s="2"/>
      <c r="AK90" s="2"/>
      <c r="AL90" s="2"/>
      <c r="AM90" s="2"/>
      <c r="AN90" s="2"/>
      <c r="AO90" s="2"/>
      <c r="AP90" s="2"/>
      <c r="AQ90" s="2"/>
      <c r="AR90" s="2"/>
      <c r="AS90" s="2"/>
      <c r="AT90" s="2"/>
    </row>
    <row r="91" spans="36:46" ht="14.25" customHeight="1">
      <c r="AJ91" s="2"/>
      <c r="AK91" s="2"/>
      <c r="AL91" s="2"/>
      <c r="AM91" s="2"/>
      <c r="AN91" s="2"/>
      <c r="AO91" s="2"/>
      <c r="AP91" s="2"/>
      <c r="AQ91" s="2"/>
      <c r="AR91" s="2"/>
      <c r="AS91" s="2"/>
      <c r="AT91" s="2"/>
    </row>
    <row r="92" spans="36:46" ht="14.25" customHeight="1">
      <c r="AJ92" s="2"/>
      <c r="AK92" s="2"/>
      <c r="AL92" s="2"/>
      <c r="AM92" s="2"/>
      <c r="AN92" s="2"/>
      <c r="AO92" s="2"/>
      <c r="AP92" s="2"/>
      <c r="AQ92" s="2"/>
      <c r="AR92" s="2"/>
      <c r="AS92" s="2"/>
      <c r="AT92" s="2"/>
    </row>
    <row r="93" spans="36:46" ht="14.25" customHeight="1">
      <c r="AJ93" s="2"/>
      <c r="AK93" s="2"/>
      <c r="AL93" s="2"/>
      <c r="AM93" s="2"/>
      <c r="AN93" s="2"/>
      <c r="AO93" s="2"/>
      <c r="AP93" s="2"/>
      <c r="AQ93" s="2"/>
      <c r="AR93" s="2"/>
      <c r="AS93" s="2"/>
      <c r="AT93" s="2"/>
    </row>
    <row r="94" spans="36:46" ht="14.25" customHeight="1">
      <c r="AJ94" s="2"/>
      <c r="AK94" s="2"/>
      <c r="AL94" s="2"/>
      <c r="AM94" s="2"/>
      <c r="AN94" s="2"/>
      <c r="AO94" s="2"/>
      <c r="AP94" s="2"/>
      <c r="AQ94" s="2"/>
      <c r="AR94" s="2"/>
      <c r="AS94" s="2"/>
      <c r="AT94" s="2"/>
    </row>
    <row r="95" spans="36:46" ht="14.25" customHeight="1">
      <c r="AJ95" s="2"/>
      <c r="AK95" s="2"/>
      <c r="AL95" s="2"/>
      <c r="AM95" s="2"/>
      <c r="AN95" s="2"/>
      <c r="AO95" s="2"/>
      <c r="AP95" s="2"/>
      <c r="AQ95" s="2"/>
      <c r="AR95" s="2"/>
      <c r="AS95" s="2"/>
      <c r="AT95" s="2"/>
    </row>
    <row r="96" spans="36:46" ht="14.25" customHeight="1">
      <c r="AJ96" s="2"/>
      <c r="AK96" s="2"/>
      <c r="AL96" s="2"/>
      <c r="AM96" s="2"/>
      <c r="AN96" s="2"/>
      <c r="AO96" s="2"/>
      <c r="AP96" s="2"/>
      <c r="AQ96" s="2"/>
      <c r="AR96" s="2"/>
      <c r="AS96" s="2"/>
      <c r="AT96" s="2"/>
    </row>
    <row r="97" spans="36:46" ht="14.25" customHeight="1">
      <c r="AJ97" s="2"/>
      <c r="AK97" s="2"/>
      <c r="AL97" s="2"/>
      <c r="AM97" s="2"/>
      <c r="AN97" s="2"/>
      <c r="AO97" s="2"/>
      <c r="AP97" s="2"/>
      <c r="AQ97" s="2"/>
      <c r="AR97" s="2"/>
      <c r="AS97" s="2"/>
      <c r="AT97" s="2"/>
    </row>
    <row r="98" spans="36:46" ht="14.25" customHeight="1">
      <c r="AJ98" s="2"/>
      <c r="AK98" s="2"/>
      <c r="AL98" s="2"/>
      <c r="AM98" s="2"/>
      <c r="AN98" s="2"/>
      <c r="AO98" s="2"/>
      <c r="AP98" s="2"/>
      <c r="AQ98" s="2"/>
      <c r="AR98" s="2"/>
      <c r="AS98" s="2"/>
      <c r="AT98" s="2"/>
    </row>
    <row r="99" spans="36:46" ht="14.25" customHeight="1">
      <c r="AJ99" s="2"/>
      <c r="AK99" s="2"/>
      <c r="AL99" s="2"/>
      <c r="AM99" s="2"/>
      <c r="AN99" s="2"/>
      <c r="AO99" s="2"/>
      <c r="AP99" s="2"/>
      <c r="AQ99" s="2"/>
      <c r="AR99" s="2"/>
      <c r="AS99" s="2"/>
      <c r="AT99" s="2"/>
    </row>
    <row r="100" spans="36:46" ht="14.25" customHeight="1">
      <c r="AJ100" s="2"/>
      <c r="AK100" s="2"/>
      <c r="AL100" s="2"/>
      <c r="AM100" s="2"/>
      <c r="AN100" s="2"/>
      <c r="AO100" s="2"/>
      <c r="AP100" s="2"/>
      <c r="AQ100" s="2"/>
      <c r="AR100" s="2"/>
      <c r="AS100" s="2"/>
      <c r="AT100" s="2"/>
    </row>
    <row r="101" spans="36:46" ht="14.25" customHeight="1">
      <c r="AJ101" s="2"/>
      <c r="AK101" s="2"/>
      <c r="AL101" s="2"/>
      <c r="AM101" s="2"/>
      <c r="AN101" s="2"/>
      <c r="AO101" s="2"/>
      <c r="AP101" s="2"/>
      <c r="AQ101" s="2"/>
      <c r="AR101" s="2"/>
      <c r="AS101" s="2"/>
      <c r="AT101" s="2"/>
    </row>
    <row r="102" spans="36:46" ht="14.25" customHeight="1">
      <c r="AJ102" s="2"/>
      <c r="AK102" s="2"/>
      <c r="AL102" s="2"/>
      <c r="AM102" s="2"/>
      <c r="AN102" s="2"/>
      <c r="AO102" s="2"/>
      <c r="AP102" s="2"/>
      <c r="AQ102" s="2"/>
      <c r="AR102" s="2"/>
      <c r="AS102" s="2"/>
      <c r="AT102" s="2"/>
    </row>
    <row r="103" spans="36:46" ht="14.25" customHeight="1">
      <c r="AJ103" s="2"/>
      <c r="AK103" s="2"/>
      <c r="AL103" s="2"/>
      <c r="AM103" s="2"/>
      <c r="AN103" s="2"/>
      <c r="AO103" s="2"/>
      <c r="AP103" s="2"/>
      <c r="AQ103" s="2"/>
      <c r="AR103" s="2"/>
      <c r="AS103" s="2"/>
      <c r="AT103" s="2"/>
    </row>
    <row r="104" spans="36:46" ht="14.25" customHeight="1">
      <c r="AJ104" s="2"/>
      <c r="AK104" s="2"/>
      <c r="AL104" s="2"/>
      <c r="AM104" s="2"/>
      <c r="AN104" s="2"/>
      <c r="AO104" s="2"/>
      <c r="AP104" s="2"/>
      <c r="AQ104" s="2"/>
      <c r="AR104" s="2"/>
      <c r="AS104" s="2"/>
      <c r="AT104" s="2"/>
    </row>
    <row r="105" spans="36:46" ht="14.25" customHeight="1">
      <c r="AJ105" s="2"/>
      <c r="AK105" s="2"/>
      <c r="AL105" s="2"/>
      <c r="AM105" s="2"/>
      <c r="AN105" s="2"/>
      <c r="AO105" s="2"/>
      <c r="AP105" s="2"/>
      <c r="AQ105" s="2"/>
      <c r="AR105" s="2"/>
      <c r="AS105" s="2"/>
      <c r="AT105" s="2"/>
    </row>
    <row r="106" spans="36:46" ht="14.25" customHeight="1">
      <c r="AJ106" s="2"/>
      <c r="AK106" s="2"/>
      <c r="AL106" s="2"/>
      <c r="AM106" s="2"/>
      <c r="AN106" s="2"/>
      <c r="AO106" s="2"/>
      <c r="AP106" s="2"/>
      <c r="AQ106" s="2"/>
      <c r="AR106" s="2"/>
      <c r="AS106" s="2"/>
      <c r="AT106" s="2"/>
    </row>
    <row r="107" spans="36:46" ht="14.25" customHeight="1">
      <c r="AJ107" s="2"/>
      <c r="AK107" s="2"/>
      <c r="AL107" s="2"/>
      <c r="AM107" s="2"/>
      <c r="AN107" s="2"/>
      <c r="AO107" s="2"/>
      <c r="AP107" s="2"/>
      <c r="AQ107" s="2"/>
      <c r="AR107" s="2"/>
      <c r="AS107" s="2"/>
      <c r="AT107" s="2"/>
    </row>
    <row r="108" spans="36:46" ht="14.25" customHeight="1">
      <c r="AJ108" s="2"/>
      <c r="AK108" s="2"/>
      <c r="AL108" s="2"/>
      <c r="AM108" s="2"/>
      <c r="AN108" s="2"/>
      <c r="AO108" s="2"/>
      <c r="AP108" s="2"/>
      <c r="AQ108" s="2"/>
      <c r="AR108" s="2"/>
      <c r="AS108" s="2"/>
      <c r="AT108" s="2"/>
    </row>
    <row r="109" spans="36:46" ht="14.25" customHeight="1">
      <c r="AJ109" s="2"/>
      <c r="AK109" s="2"/>
      <c r="AL109" s="2"/>
      <c r="AM109" s="2"/>
      <c r="AN109" s="2"/>
      <c r="AO109" s="2"/>
      <c r="AP109" s="2"/>
      <c r="AQ109" s="2"/>
      <c r="AR109" s="2"/>
      <c r="AS109" s="2"/>
      <c r="AT109" s="2"/>
    </row>
    <row r="110" spans="36:46" ht="14.25" customHeight="1">
      <c r="AJ110" s="2"/>
      <c r="AK110" s="2"/>
      <c r="AL110" s="2"/>
      <c r="AM110" s="2"/>
      <c r="AN110" s="2"/>
      <c r="AO110" s="2"/>
      <c r="AP110" s="2"/>
      <c r="AQ110" s="2"/>
      <c r="AR110" s="2"/>
      <c r="AS110" s="2"/>
      <c r="AT110" s="2"/>
    </row>
    <row r="111" spans="36:46" ht="14.25" customHeight="1">
      <c r="AJ111" s="2"/>
      <c r="AK111" s="2"/>
      <c r="AL111" s="2"/>
      <c r="AM111" s="2"/>
      <c r="AN111" s="2"/>
      <c r="AO111" s="2"/>
      <c r="AP111" s="2"/>
      <c r="AQ111" s="2"/>
      <c r="AR111" s="2"/>
      <c r="AS111" s="2"/>
      <c r="AT111" s="2"/>
    </row>
    <row r="112" spans="36:46" ht="14.25" customHeight="1">
      <c r="AJ112" s="2"/>
      <c r="AK112" s="2"/>
      <c r="AL112" s="2"/>
      <c r="AM112" s="2"/>
      <c r="AN112" s="2"/>
      <c r="AO112" s="2"/>
      <c r="AP112" s="2"/>
      <c r="AQ112" s="2"/>
      <c r="AR112" s="2"/>
      <c r="AS112" s="2"/>
      <c r="AT112" s="2"/>
    </row>
    <row r="113" spans="36:46" ht="14.25" customHeight="1">
      <c r="AJ113" s="2"/>
      <c r="AK113" s="2"/>
      <c r="AL113" s="2"/>
      <c r="AM113" s="2"/>
      <c r="AN113" s="2"/>
      <c r="AO113" s="2"/>
      <c r="AP113" s="2"/>
      <c r="AQ113" s="2"/>
      <c r="AR113" s="2"/>
      <c r="AS113" s="2"/>
      <c r="AT113" s="2"/>
    </row>
    <row r="114" spans="36:46" ht="14.25" customHeight="1">
      <c r="AJ114" s="2"/>
      <c r="AK114" s="2"/>
      <c r="AL114" s="2"/>
      <c r="AM114" s="2"/>
      <c r="AN114" s="2"/>
      <c r="AO114" s="2"/>
      <c r="AP114" s="2"/>
      <c r="AQ114" s="2"/>
      <c r="AR114" s="2"/>
      <c r="AS114" s="2"/>
      <c r="AT114" s="2"/>
    </row>
    <row r="115" spans="36:46" ht="14.25" customHeight="1">
      <c r="AJ115" s="2"/>
      <c r="AK115" s="2"/>
      <c r="AL115" s="2"/>
      <c r="AM115" s="2"/>
      <c r="AN115" s="2"/>
      <c r="AO115" s="2"/>
      <c r="AP115" s="2"/>
      <c r="AQ115" s="2"/>
      <c r="AR115" s="2"/>
      <c r="AS115" s="2"/>
      <c r="AT115" s="2"/>
    </row>
    <row r="116" spans="36:46" ht="14.25" customHeight="1">
      <c r="AJ116" s="2"/>
      <c r="AK116" s="2"/>
      <c r="AL116" s="2"/>
      <c r="AM116" s="2"/>
      <c r="AN116" s="2"/>
      <c r="AO116" s="2"/>
      <c r="AP116" s="2"/>
      <c r="AQ116" s="2"/>
      <c r="AR116" s="2"/>
      <c r="AS116" s="2"/>
      <c r="AT116" s="2"/>
    </row>
    <row r="117" spans="36:46" ht="14.25" customHeight="1">
      <c r="AJ117" s="2"/>
      <c r="AK117" s="2"/>
      <c r="AL117" s="2"/>
      <c r="AM117" s="2"/>
      <c r="AN117" s="2"/>
      <c r="AO117" s="2"/>
      <c r="AP117" s="2"/>
      <c r="AQ117" s="2"/>
      <c r="AR117" s="2"/>
      <c r="AS117" s="2"/>
      <c r="AT117" s="2"/>
    </row>
    <row r="118" spans="36:46" ht="14.25" customHeight="1">
      <c r="AJ118" s="2"/>
      <c r="AK118" s="2"/>
      <c r="AL118" s="2"/>
      <c r="AM118" s="2"/>
      <c r="AN118" s="2"/>
      <c r="AO118" s="2"/>
      <c r="AP118" s="2"/>
      <c r="AQ118" s="2"/>
      <c r="AR118" s="2"/>
      <c r="AS118" s="2"/>
      <c r="AT118" s="2"/>
    </row>
    <row r="119" spans="36:46" ht="14.25" customHeight="1">
      <c r="AJ119" s="2"/>
      <c r="AK119" s="2"/>
      <c r="AL119" s="2"/>
      <c r="AM119" s="2"/>
      <c r="AN119" s="2"/>
      <c r="AO119" s="2"/>
      <c r="AP119" s="2"/>
      <c r="AQ119" s="2"/>
      <c r="AR119" s="2"/>
      <c r="AS119" s="2"/>
      <c r="AT119" s="2"/>
    </row>
    <row r="120" spans="36:46" ht="14.25" customHeight="1">
      <c r="AJ120" s="2"/>
      <c r="AK120" s="2"/>
      <c r="AL120" s="2"/>
      <c r="AM120" s="2"/>
      <c r="AN120" s="2"/>
      <c r="AO120" s="2"/>
      <c r="AP120" s="2"/>
      <c r="AQ120" s="2"/>
      <c r="AR120" s="2"/>
      <c r="AS120" s="2"/>
      <c r="AT120" s="2"/>
    </row>
    <row r="121" spans="36:46" ht="14.25" customHeight="1">
      <c r="AJ121" s="2"/>
      <c r="AK121" s="2"/>
      <c r="AL121" s="2"/>
      <c r="AM121" s="2"/>
      <c r="AN121" s="2"/>
      <c r="AO121" s="2"/>
      <c r="AP121" s="2"/>
      <c r="AQ121" s="2"/>
      <c r="AR121" s="2"/>
      <c r="AS121" s="2"/>
      <c r="AT121" s="2"/>
    </row>
    <row r="122" spans="36:46" ht="14.25" customHeight="1">
      <c r="AJ122" s="2"/>
      <c r="AK122" s="2"/>
      <c r="AL122" s="2"/>
      <c r="AM122" s="2"/>
      <c r="AN122" s="2"/>
      <c r="AO122" s="2"/>
      <c r="AP122" s="2"/>
      <c r="AQ122" s="2"/>
      <c r="AR122" s="2"/>
      <c r="AS122" s="2"/>
      <c r="AT122" s="2"/>
    </row>
    <row r="123" spans="36:46" ht="14.25" customHeight="1">
      <c r="AJ123" s="2"/>
      <c r="AK123" s="2"/>
      <c r="AL123" s="2"/>
      <c r="AM123" s="2"/>
      <c r="AN123" s="2"/>
      <c r="AO123" s="2"/>
      <c r="AP123" s="2"/>
      <c r="AQ123" s="2"/>
      <c r="AR123" s="2"/>
      <c r="AS123" s="2"/>
      <c r="AT123" s="2"/>
    </row>
    <row r="124" spans="36:46" ht="14.25" customHeight="1">
      <c r="AJ124" s="2"/>
      <c r="AK124" s="2"/>
      <c r="AL124" s="2"/>
      <c r="AM124" s="2"/>
      <c r="AN124" s="2"/>
      <c r="AO124" s="2"/>
      <c r="AP124" s="2"/>
      <c r="AQ124" s="2"/>
      <c r="AR124" s="2"/>
      <c r="AS124" s="2"/>
      <c r="AT124" s="2"/>
    </row>
    <row r="125" spans="36:46" ht="14.25" customHeight="1">
      <c r="AJ125" s="2"/>
      <c r="AK125" s="2"/>
      <c r="AL125" s="2"/>
      <c r="AM125" s="2"/>
      <c r="AN125" s="2"/>
      <c r="AO125" s="2"/>
      <c r="AP125" s="2"/>
      <c r="AQ125" s="2"/>
      <c r="AR125" s="2"/>
      <c r="AS125" s="2"/>
      <c r="AT125" s="2"/>
    </row>
    <row r="126" spans="36:46" ht="14.25" customHeight="1">
      <c r="AJ126" s="2"/>
      <c r="AK126" s="2"/>
      <c r="AL126" s="2"/>
      <c r="AM126" s="2"/>
      <c r="AN126" s="2"/>
      <c r="AO126" s="2"/>
      <c r="AP126" s="2"/>
      <c r="AQ126" s="2"/>
      <c r="AR126" s="2"/>
      <c r="AS126" s="2"/>
      <c r="AT126" s="2"/>
    </row>
    <row r="127" spans="36:46" ht="14.25" customHeight="1">
      <c r="AJ127" s="2"/>
      <c r="AK127" s="2"/>
      <c r="AL127" s="2"/>
      <c r="AM127" s="2"/>
      <c r="AN127" s="2"/>
      <c r="AO127" s="2"/>
      <c r="AP127" s="2"/>
      <c r="AQ127" s="2"/>
      <c r="AR127" s="2"/>
      <c r="AS127" s="2"/>
      <c r="AT127" s="2"/>
    </row>
    <row r="128" spans="36:46" ht="14.25" customHeight="1">
      <c r="AJ128" s="2"/>
      <c r="AK128" s="2"/>
      <c r="AL128" s="2"/>
      <c r="AM128" s="2"/>
      <c r="AN128" s="2"/>
      <c r="AO128" s="2"/>
      <c r="AP128" s="2"/>
      <c r="AQ128" s="2"/>
      <c r="AR128" s="2"/>
      <c r="AS128" s="2"/>
      <c r="AT128" s="2"/>
    </row>
    <row r="129" spans="36:46" ht="14.25" customHeight="1">
      <c r="AJ129" s="2"/>
      <c r="AK129" s="2"/>
      <c r="AL129" s="2"/>
      <c r="AM129" s="2"/>
      <c r="AN129" s="2"/>
      <c r="AO129" s="2"/>
      <c r="AP129" s="2"/>
      <c r="AQ129" s="2"/>
      <c r="AR129" s="2"/>
      <c r="AS129" s="2"/>
      <c r="AT129" s="2"/>
    </row>
    <row r="130" spans="36:46" ht="14.25" customHeight="1">
      <c r="AJ130" s="2"/>
      <c r="AK130" s="2"/>
      <c r="AL130" s="2"/>
      <c r="AM130" s="2"/>
      <c r="AN130" s="2"/>
      <c r="AO130" s="2"/>
      <c r="AP130" s="2"/>
      <c r="AQ130" s="2"/>
      <c r="AR130" s="2"/>
      <c r="AS130" s="2"/>
      <c r="AT130" s="2"/>
    </row>
    <row r="131" spans="36:46" ht="14.25" customHeight="1">
      <c r="AJ131" s="2"/>
      <c r="AK131" s="2"/>
      <c r="AL131" s="2"/>
      <c r="AM131" s="2"/>
      <c r="AN131" s="2"/>
      <c r="AO131" s="2"/>
      <c r="AP131" s="2"/>
      <c r="AQ131" s="2"/>
      <c r="AR131" s="2"/>
      <c r="AS131" s="2"/>
      <c r="AT131" s="2"/>
    </row>
    <row r="132" spans="36:46" ht="14.25" customHeight="1">
      <c r="AJ132" s="2"/>
      <c r="AK132" s="2"/>
      <c r="AL132" s="2"/>
      <c r="AM132" s="2"/>
      <c r="AN132" s="2"/>
      <c r="AO132" s="2"/>
      <c r="AP132" s="2"/>
      <c r="AQ132" s="2"/>
      <c r="AR132" s="2"/>
      <c r="AS132" s="2"/>
      <c r="AT132" s="2"/>
    </row>
    <row r="133" spans="36:46" ht="14.25" customHeight="1">
      <c r="AJ133" s="2"/>
      <c r="AK133" s="2"/>
      <c r="AL133" s="2"/>
      <c r="AM133" s="2"/>
      <c r="AN133" s="2"/>
      <c r="AO133" s="2"/>
      <c r="AP133" s="2"/>
      <c r="AQ133" s="2"/>
      <c r="AR133" s="2"/>
      <c r="AS133" s="2"/>
      <c r="AT133" s="2"/>
    </row>
    <row r="134" spans="36:46" ht="14.25" customHeight="1">
      <c r="AJ134" s="2"/>
      <c r="AK134" s="2"/>
      <c r="AL134" s="2"/>
      <c r="AM134" s="2"/>
      <c r="AN134" s="2"/>
      <c r="AO134" s="2"/>
      <c r="AP134" s="2"/>
      <c r="AQ134" s="2"/>
      <c r="AR134" s="2"/>
      <c r="AS134" s="2"/>
      <c r="AT134" s="2"/>
    </row>
    <row r="135" spans="36:46" ht="14.25" customHeight="1">
      <c r="AJ135" s="2"/>
      <c r="AK135" s="2"/>
      <c r="AL135" s="2"/>
      <c r="AM135" s="2"/>
      <c r="AN135" s="2"/>
      <c r="AO135" s="2"/>
      <c r="AP135" s="2"/>
      <c r="AQ135" s="2"/>
      <c r="AR135" s="2"/>
      <c r="AS135" s="2"/>
      <c r="AT135" s="2"/>
    </row>
    <row r="136" spans="36:46" ht="14.25" customHeight="1">
      <c r="AJ136" s="2"/>
      <c r="AK136" s="2"/>
      <c r="AL136" s="2"/>
      <c r="AM136" s="2"/>
      <c r="AN136" s="2"/>
      <c r="AO136" s="2"/>
      <c r="AP136" s="2"/>
      <c r="AQ136" s="2"/>
      <c r="AR136" s="2"/>
      <c r="AS136" s="2"/>
      <c r="AT136" s="2"/>
    </row>
    <row r="137" spans="36:46" ht="14.25" customHeight="1">
      <c r="AJ137" s="2"/>
      <c r="AK137" s="2"/>
      <c r="AL137" s="2"/>
      <c r="AM137" s="2"/>
      <c r="AN137" s="2"/>
      <c r="AO137" s="2"/>
      <c r="AP137" s="2"/>
      <c r="AQ137" s="2"/>
      <c r="AR137" s="2"/>
      <c r="AS137" s="2"/>
      <c r="AT137" s="2"/>
    </row>
    <row r="138" spans="36:46" ht="14.25" customHeight="1">
      <c r="AJ138" s="2"/>
      <c r="AK138" s="2"/>
      <c r="AL138" s="2"/>
      <c r="AM138" s="2"/>
      <c r="AN138" s="2"/>
      <c r="AO138" s="2"/>
      <c r="AP138" s="2"/>
      <c r="AQ138" s="2"/>
      <c r="AR138" s="2"/>
      <c r="AS138" s="2"/>
      <c r="AT138" s="2"/>
    </row>
    <row r="139" spans="36:46" ht="14.25" customHeight="1">
      <c r="AJ139" s="2"/>
      <c r="AK139" s="2"/>
      <c r="AL139" s="2"/>
      <c r="AM139" s="2"/>
      <c r="AN139" s="2"/>
      <c r="AO139" s="2"/>
      <c r="AP139" s="2"/>
      <c r="AQ139" s="2"/>
      <c r="AR139" s="2"/>
      <c r="AS139" s="2"/>
      <c r="AT139" s="2"/>
    </row>
    <row r="140" spans="36:46" ht="14.25" customHeight="1">
      <c r="AJ140" s="2"/>
      <c r="AK140" s="2"/>
      <c r="AL140" s="2"/>
      <c r="AM140" s="2"/>
      <c r="AN140" s="2"/>
      <c r="AO140" s="2"/>
      <c r="AP140" s="2"/>
      <c r="AQ140" s="2"/>
      <c r="AR140" s="2"/>
      <c r="AS140" s="2"/>
      <c r="AT140" s="2"/>
    </row>
    <row r="141" spans="36:46" ht="14.25" customHeight="1">
      <c r="AJ141" s="2"/>
      <c r="AK141" s="2"/>
      <c r="AL141" s="2"/>
      <c r="AM141" s="2"/>
      <c r="AN141" s="2"/>
      <c r="AO141" s="2"/>
      <c r="AP141" s="2"/>
      <c r="AQ141" s="2"/>
      <c r="AR141" s="2"/>
      <c r="AS141" s="2"/>
      <c r="AT141" s="2"/>
    </row>
    <row r="142" spans="36:46" ht="14.25" customHeight="1">
      <c r="AJ142" s="2"/>
      <c r="AK142" s="2"/>
      <c r="AL142" s="2"/>
      <c r="AM142" s="2"/>
      <c r="AN142" s="2"/>
      <c r="AO142" s="2"/>
      <c r="AP142" s="2"/>
      <c r="AQ142" s="2"/>
      <c r="AR142" s="2"/>
      <c r="AS142" s="2"/>
      <c r="AT142" s="2"/>
    </row>
    <row r="143" spans="36:46" ht="14.25" customHeight="1">
      <c r="AJ143" s="2"/>
      <c r="AK143" s="2"/>
      <c r="AL143" s="2"/>
      <c r="AM143" s="2"/>
      <c r="AN143" s="2"/>
      <c r="AO143" s="2"/>
      <c r="AP143" s="2"/>
      <c r="AQ143" s="2"/>
      <c r="AR143" s="2"/>
      <c r="AS143" s="2"/>
      <c r="AT143" s="2"/>
    </row>
    <row r="144" spans="36:46" ht="14.25" customHeight="1">
      <c r="AJ144" s="2"/>
      <c r="AK144" s="2"/>
      <c r="AL144" s="2"/>
      <c r="AM144" s="2"/>
      <c r="AN144" s="2"/>
      <c r="AO144" s="2"/>
      <c r="AP144" s="2"/>
      <c r="AQ144" s="2"/>
      <c r="AR144" s="2"/>
      <c r="AS144" s="2"/>
      <c r="AT144" s="2"/>
    </row>
    <row r="145" spans="36:46" ht="14.25" customHeight="1">
      <c r="AJ145" s="2"/>
      <c r="AK145" s="2"/>
      <c r="AL145" s="2"/>
      <c r="AM145" s="2"/>
      <c r="AN145" s="2"/>
      <c r="AO145" s="2"/>
      <c r="AP145" s="2"/>
      <c r="AQ145" s="2"/>
      <c r="AR145" s="2"/>
      <c r="AS145" s="2"/>
      <c r="AT145" s="2"/>
    </row>
    <row r="146" spans="36:46" ht="14.25" customHeight="1">
      <c r="AJ146" s="2"/>
      <c r="AK146" s="2"/>
      <c r="AL146" s="2"/>
      <c r="AM146" s="2"/>
      <c r="AN146" s="2"/>
      <c r="AO146" s="2"/>
      <c r="AP146" s="2"/>
      <c r="AQ146" s="2"/>
      <c r="AR146" s="2"/>
      <c r="AS146" s="2"/>
      <c r="AT146" s="2"/>
    </row>
    <row r="147" spans="36:46" ht="14.25" customHeight="1">
      <c r="AJ147" s="2"/>
      <c r="AK147" s="2"/>
      <c r="AL147" s="2"/>
      <c r="AM147" s="2"/>
      <c r="AN147" s="2"/>
      <c r="AO147" s="2"/>
      <c r="AP147" s="2"/>
      <c r="AQ147" s="2"/>
      <c r="AR147" s="2"/>
      <c r="AS147" s="2"/>
      <c r="AT147" s="2"/>
    </row>
    <row r="148" spans="36:46" ht="14.25" customHeight="1">
      <c r="AJ148" s="2"/>
      <c r="AK148" s="2"/>
      <c r="AL148" s="2"/>
      <c r="AM148" s="2"/>
      <c r="AN148" s="2"/>
      <c r="AO148" s="2"/>
      <c r="AP148" s="2"/>
      <c r="AQ148" s="2"/>
      <c r="AR148" s="2"/>
      <c r="AS148" s="2"/>
      <c r="AT148" s="2"/>
    </row>
    <row r="149" spans="36:46" ht="14.25" customHeight="1">
      <c r="AJ149" s="2"/>
      <c r="AK149" s="2"/>
      <c r="AL149" s="2"/>
      <c r="AM149" s="2"/>
      <c r="AN149" s="2"/>
      <c r="AO149" s="2"/>
      <c r="AP149" s="2"/>
      <c r="AQ149" s="2"/>
      <c r="AR149" s="2"/>
      <c r="AS149" s="2"/>
      <c r="AT149" s="2"/>
    </row>
    <row r="150" spans="36:46" ht="14.25" customHeight="1">
      <c r="AJ150" s="2"/>
      <c r="AK150" s="2"/>
      <c r="AL150" s="2"/>
      <c r="AM150" s="2"/>
      <c r="AN150" s="2"/>
      <c r="AO150" s="2"/>
      <c r="AP150" s="2"/>
      <c r="AQ150" s="2"/>
      <c r="AR150" s="2"/>
      <c r="AS150" s="2"/>
      <c r="AT150" s="2"/>
    </row>
    <row r="151" spans="36:46" ht="14.25" customHeight="1">
      <c r="AJ151" s="2"/>
      <c r="AK151" s="2"/>
      <c r="AL151" s="2"/>
      <c r="AM151" s="2"/>
      <c r="AN151" s="2"/>
      <c r="AO151" s="2"/>
      <c r="AP151" s="2"/>
      <c r="AQ151" s="2"/>
      <c r="AR151" s="2"/>
      <c r="AS151" s="2"/>
      <c r="AT151" s="2"/>
    </row>
    <row r="152" spans="36:46" ht="14.25" customHeight="1">
      <c r="AJ152" s="2"/>
      <c r="AK152" s="2"/>
      <c r="AL152" s="2"/>
      <c r="AM152" s="2"/>
      <c r="AN152" s="2"/>
      <c r="AO152" s="2"/>
      <c r="AP152" s="2"/>
      <c r="AQ152" s="2"/>
      <c r="AR152" s="2"/>
      <c r="AS152" s="2"/>
      <c r="AT152" s="2"/>
    </row>
    <row r="153" spans="36:46" ht="14.25" customHeight="1">
      <c r="AJ153" s="2"/>
      <c r="AK153" s="2"/>
      <c r="AL153" s="2"/>
      <c r="AM153" s="2"/>
      <c r="AN153" s="2"/>
      <c r="AO153" s="2"/>
      <c r="AP153" s="2"/>
      <c r="AQ153" s="2"/>
      <c r="AR153" s="2"/>
      <c r="AS153" s="2"/>
      <c r="AT153" s="2"/>
    </row>
    <row r="154" spans="36:46" ht="14.25" customHeight="1">
      <c r="AJ154" s="2"/>
      <c r="AK154" s="2"/>
      <c r="AL154" s="2"/>
      <c r="AM154" s="2"/>
      <c r="AN154" s="2"/>
      <c r="AO154" s="2"/>
      <c r="AP154" s="2"/>
      <c r="AQ154" s="2"/>
      <c r="AR154" s="2"/>
      <c r="AS154" s="2"/>
      <c r="AT154" s="2"/>
    </row>
    <row r="155" spans="36:46" ht="14.25" customHeight="1">
      <c r="AJ155" s="2"/>
      <c r="AK155" s="2"/>
      <c r="AL155" s="2"/>
      <c r="AM155" s="2"/>
      <c r="AN155" s="2"/>
      <c r="AO155" s="2"/>
      <c r="AP155" s="2"/>
      <c r="AQ155" s="2"/>
      <c r="AR155" s="2"/>
      <c r="AS155" s="2"/>
      <c r="AT155" s="2"/>
    </row>
    <row r="156" spans="36:46" ht="14.25" customHeight="1">
      <c r="AJ156" s="2"/>
      <c r="AK156" s="2"/>
      <c r="AL156" s="2"/>
      <c r="AM156" s="2"/>
      <c r="AN156" s="2"/>
      <c r="AO156" s="2"/>
      <c r="AP156" s="2"/>
      <c r="AQ156" s="2"/>
      <c r="AR156" s="2"/>
      <c r="AS156" s="2"/>
      <c r="AT156" s="2"/>
    </row>
    <row r="157" spans="36:46" ht="14.25" customHeight="1">
      <c r="AJ157" s="2"/>
      <c r="AK157" s="2"/>
      <c r="AL157" s="2"/>
      <c r="AM157" s="2"/>
      <c r="AN157" s="2"/>
      <c r="AO157" s="2"/>
      <c r="AP157" s="2"/>
      <c r="AQ157" s="2"/>
      <c r="AR157" s="2"/>
      <c r="AS157" s="2"/>
      <c r="AT157" s="2"/>
    </row>
    <row r="158" spans="36:46" ht="14.25" customHeight="1">
      <c r="AJ158" s="2"/>
      <c r="AK158" s="2"/>
      <c r="AL158" s="2"/>
      <c r="AM158" s="2"/>
      <c r="AN158" s="2"/>
      <c r="AO158" s="2"/>
      <c r="AP158" s="2"/>
      <c r="AQ158" s="2"/>
      <c r="AR158" s="2"/>
      <c r="AS158" s="2"/>
      <c r="AT158" s="2"/>
    </row>
    <row r="159" spans="36:46" ht="14.25" customHeight="1">
      <c r="AJ159" s="2"/>
      <c r="AK159" s="2"/>
      <c r="AL159" s="2"/>
      <c r="AM159" s="2"/>
      <c r="AN159" s="2"/>
      <c r="AO159" s="2"/>
      <c r="AP159" s="2"/>
      <c r="AQ159" s="2"/>
      <c r="AR159" s="2"/>
      <c r="AS159" s="2"/>
      <c r="AT159" s="2"/>
    </row>
    <row r="160" spans="36:46" ht="14.25" customHeight="1">
      <c r="AJ160" s="2"/>
      <c r="AK160" s="2"/>
      <c r="AL160" s="2"/>
      <c r="AM160" s="2"/>
      <c r="AN160" s="2"/>
      <c r="AO160" s="2"/>
      <c r="AP160" s="2"/>
      <c r="AQ160" s="2"/>
      <c r="AR160" s="2"/>
      <c r="AS160" s="2"/>
      <c r="AT160" s="2"/>
    </row>
    <row r="161" spans="36:46" ht="14.25" customHeight="1">
      <c r="AJ161" s="2"/>
      <c r="AK161" s="2"/>
      <c r="AL161" s="2"/>
      <c r="AM161" s="2"/>
      <c r="AN161" s="2"/>
      <c r="AO161" s="2"/>
      <c r="AP161" s="2"/>
      <c r="AQ161" s="2"/>
      <c r="AR161" s="2"/>
      <c r="AS161" s="2"/>
      <c r="AT161" s="2"/>
    </row>
    <row r="162" spans="36:46" ht="14.25" customHeight="1">
      <c r="AJ162" s="2"/>
      <c r="AK162" s="2"/>
      <c r="AL162" s="2"/>
      <c r="AM162" s="2"/>
      <c r="AN162" s="2"/>
      <c r="AO162" s="2"/>
      <c r="AP162" s="2"/>
      <c r="AQ162" s="2"/>
      <c r="AR162" s="2"/>
      <c r="AS162" s="2"/>
      <c r="AT162" s="2"/>
    </row>
    <row r="163" spans="36:46" ht="14.25" customHeight="1">
      <c r="AJ163" s="2"/>
      <c r="AK163" s="2"/>
      <c r="AL163" s="2"/>
      <c r="AM163" s="2"/>
      <c r="AN163" s="2"/>
      <c r="AO163" s="2"/>
      <c r="AP163" s="2"/>
      <c r="AQ163" s="2"/>
      <c r="AR163" s="2"/>
      <c r="AS163" s="2"/>
      <c r="AT163" s="2"/>
    </row>
    <row r="164" spans="36:46" ht="14.25" customHeight="1">
      <c r="AJ164" s="2"/>
      <c r="AK164" s="2"/>
      <c r="AL164" s="2"/>
      <c r="AM164" s="2"/>
      <c r="AN164" s="2"/>
      <c r="AO164" s="2"/>
      <c r="AP164" s="2"/>
      <c r="AQ164" s="2"/>
      <c r="AR164" s="2"/>
      <c r="AS164" s="2"/>
      <c r="AT164" s="2"/>
    </row>
    <row r="165" spans="36:46" ht="14.25" customHeight="1">
      <c r="AJ165" s="2"/>
      <c r="AK165" s="2"/>
      <c r="AL165" s="2"/>
      <c r="AM165" s="2"/>
      <c r="AN165" s="2"/>
      <c r="AO165" s="2"/>
      <c r="AP165" s="2"/>
      <c r="AQ165" s="2"/>
      <c r="AR165" s="2"/>
      <c r="AS165" s="2"/>
      <c r="AT165" s="2"/>
    </row>
    <row r="166" spans="36:46" ht="14.25" customHeight="1">
      <c r="AJ166" s="2"/>
      <c r="AK166" s="2"/>
      <c r="AL166" s="2"/>
      <c r="AM166" s="2"/>
      <c r="AN166" s="2"/>
      <c r="AO166" s="2"/>
      <c r="AP166" s="2"/>
      <c r="AQ166" s="2"/>
      <c r="AR166" s="2"/>
      <c r="AS166" s="2"/>
      <c r="AT166" s="2"/>
    </row>
    <row r="167" spans="36:46" ht="14.25" customHeight="1">
      <c r="AJ167" s="2"/>
      <c r="AK167" s="2"/>
      <c r="AL167" s="2"/>
      <c r="AM167" s="2"/>
      <c r="AN167" s="2"/>
      <c r="AO167" s="2"/>
      <c r="AP167" s="2"/>
      <c r="AQ167" s="2"/>
      <c r="AR167" s="2"/>
      <c r="AS167" s="2"/>
      <c r="AT167" s="2"/>
    </row>
    <row r="168" spans="36:46" ht="14.25" customHeight="1">
      <c r="AJ168" s="2"/>
      <c r="AK168" s="2"/>
      <c r="AL168" s="2"/>
      <c r="AM168" s="2"/>
      <c r="AN168" s="2"/>
      <c r="AO168" s="2"/>
      <c r="AP168" s="2"/>
      <c r="AQ168" s="2"/>
      <c r="AR168" s="2"/>
      <c r="AS168" s="2"/>
      <c r="AT168" s="2"/>
    </row>
    <row r="169" spans="36:46" ht="14.25" customHeight="1">
      <c r="AJ169" s="2"/>
      <c r="AK169" s="2"/>
      <c r="AL169" s="2"/>
      <c r="AM169" s="2"/>
      <c r="AN169" s="2"/>
      <c r="AO169" s="2"/>
      <c r="AP169" s="2"/>
      <c r="AQ169" s="2"/>
      <c r="AR169" s="2"/>
      <c r="AS169" s="2"/>
      <c r="AT169" s="2"/>
    </row>
    <row r="170" spans="36:46" ht="14.25" customHeight="1">
      <c r="AJ170" s="2"/>
      <c r="AK170" s="2"/>
      <c r="AL170" s="2"/>
      <c r="AM170" s="2"/>
      <c r="AN170" s="2"/>
      <c r="AO170" s="2"/>
      <c r="AP170" s="2"/>
      <c r="AQ170" s="2"/>
      <c r="AR170" s="2"/>
      <c r="AS170" s="2"/>
      <c r="AT170" s="2"/>
    </row>
    <row r="171" spans="36:46" ht="14.25" customHeight="1">
      <c r="AJ171" s="2"/>
      <c r="AK171" s="2"/>
      <c r="AL171" s="2"/>
      <c r="AM171" s="2"/>
      <c r="AN171" s="2"/>
      <c r="AO171" s="2"/>
      <c r="AP171" s="2"/>
      <c r="AQ171" s="2"/>
      <c r="AR171" s="2"/>
      <c r="AS171" s="2"/>
      <c r="AT171" s="2"/>
    </row>
    <row r="172" spans="36:46" ht="14.25" customHeight="1">
      <c r="AJ172" s="2"/>
      <c r="AK172" s="2"/>
      <c r="AL172" s="2"/>
      <c r="AM172" s="2"/>
      <c r="AN172" s="2"/>
      <c r="AO172" s="2"/>
      <c r="AP172" s="2"/>
      <c r="AQ172" s="2"/>
      <c r="AR172" s="2"/>
      <c r="AS172" s="2"/>
      <c r="AT172" s="2"/>
    </row>
    <row r="173" spans="36:46" ht="14.25" customHeight="1">
      <c r="AJ173" s="2"/>
      <c r="AK173" s="2"/>
      <c r="AL173" s="2"/>
      <c r="AM173" s="2"/>
      <c r="AN173" s="2"/>
      <c r="AO173" s="2"/>
      <c r="AP173" s="2"/>
      <c r="AQ173" s="2"/>
      <c r="AR173" s="2"/>
      <c r="AS173" s="2"/>
      <c r="AT173" s="2"/>
    </row>
    <row r="174" spans="36:46" ht="14.25" customHeight="1">
      <c r="AJ174" s="2"/>
      <c r="AK174" s="2"/>
      <c r="AL174" s="2"/>
      <c r="AM174" s="2"/>
      <c r="AN174" s="2"/>
      <c r="AO174" s="2"/>
      <c r="AP174" s="2"/>
      <c r="AQ174" s="2"/>
      <c r="AR174" s="2"/>
      <c r="AS174" s="2"/>
      <c r="AT174" s="2"/>
    </row>
    <row r="175" spans="36:46" ht="14.25" customHeight="1">
      <c r="AJ175" s="2"/>
      <c r="AK175" s="2"/>
      <c r="AL175" s="2"/>
      <c r="AM175" s="2"/>
      <c r="AN175" s="2"/>
      <c r="AO175" s="2"/>
      <c r="AP175" s="2"/>
      <c r="AQ175" s="2"/>
      <c r="AR175" s="2"/>
      <c r="AS175" s="2"/>
      <c r="AT175" s="2"/>
    </row>
    <row r="176" spans="36:46" ht="14.25" customHeight="1">
      <c r="AJ176" s="2"/>
      <c r="AK176" s="2"/>
      <c r="AL176" s="2"/>
      <c r="AM176" s="2"/>
      <c r="AN176" s="2"/>
      <c r="AO176" s="2"/>
      <c r="AP176" s="2"/>
      <c r="AQ176" s="2"/>
      <c r="AR176" s="2"/>
      <c r="AS176" s="2"/>
      <c r="AT176" s="2"/>
    </row>
    <row r="177" spans="36:46" ht="14.25" customHeight="1">
      <c r="AJ177" s="2"/>
      <c r="AK177" s="2"/>
      <c r="AL177" s="2"/>
      <c r="AM177" s="2"/>
      <c r="AN177" s="2"/>
      <c r="AO177" s="2"/>
      <c r="AP177" s="2"/>
      <c r="AQ177" s="2"/>
      <c r="AR177" s="2"/>
      <c r="AS177" s="2"/>
      <c r="AT177" s="2"/>
    </row>
    <row r="178" spans="36:46" ht="14.25" customHeight="1">
      <c r="AJ178" s="2"/>
      <c r="AK178" s="2"/>
      <c r="AL178" s="2"/>
      <c r="AM178" s="2"/>
      <c r="AN178" s="2"/>
      <c r="AO178" s="2"/>
      <c r="AP178" s="2"/>
      <c r="AQ178" s="2"/>
      <c r="AR178" s="2"/>
      <c r="AS178" s="2"/>
      <c r="AT178" s="2"/>
    </row>
    <row r="179" spans="36:46" ht="14.25" customHeight="1">
      <c r="AJ179" s="2"/>
      <c r="AK179" s="2"/>
      <c r="AL179" s="2"/>
      <c r="AM179" s="2"/>
      <c r="AN179" s="2"/>
      <c r="AO179" s="2"/>
      <c r="AP179" s="2"/>
      <c r="AQ179" s="2"/>
      <c r="AR179" s="2"/>
      <c r="AS179" s="2"/>
      <c r="AT179" s="2"/>
    </row>
    <row r="180" spans="36:46" ht="14.25" customHeight="1">
      <c r="AJ180" s="2"/>
      <c r="AK180" s="2"/>
      <c r="AL180" s="2"/>
      <c r="AM180" s="2"/>
      <c r="AN180" s="2"/>
      <c r="AO180" s="2"/>
      <c r="AP180" s="2"/>
      <c r="AQ180" s="2"/>
      <c r="AR180" s="2"/>
      <c r="AS180" s="2"/>
      <c r="AT180" s="2"/>
    </row>
    <row r="181" spans="36:46" ht="14.25" customHeight="1">
      <c r="AJ181" s="2"/>
      <c r="AK181" s="2"/>
      <c r="AL181" s="2"/>
      <c r="AM181" s="2"/>
      <c r="AN181" s="2"/>
      <c r="AO181" s="2"/>
      <c r="AP181" s="2"/>
      <c r="AQ181" s="2"/>
      <c r="AR181" s="2"/>
      <c r="AS181" s="2"/>
      <c r="AT181" s="2"/>
    </row>
    <row r="182" spans="36:46" ht="14.25" customHeight="1">
      <c r="AJ182" s="2"/>
      <c r="AK182" s="2"/>
      <c r="AL182" s="2"/>
      <c r="AM182" s="2"/>
      <c r="AN182" s="2"/>
      <c r="AO182" s="2"/>
      <c r="AP182" s="2"/>
      <c r="AQ182" s="2"/>
      <c r="AR182" s="2"/>
      <c r="AS182" s="2"/>
      <c r="AT182" s="2"/>
    </row>
    <row r="183" spans="36:46" ht="14.25" customHeight="1">
      <c r="AJ183" s="2"/>
      <c r="AK183" s="2"/>
      <c r="AL183" s="2"/>
      <c r="AM183" s="2"/>
      <c r="AN183" s="2"/>
      <c r="AO183" s="2"/>
      <c r="AP183" s="2"/>
      <c r="AQ183" s="2"/>
      <c r="AR183" s="2"/>
      <c r="AS183" s="2"/>
      <c r="AT183" s="2"/>
    </row>
    <row r="184" spans="36:46" ht="14.25" customHeight="1">
      <c r="AJ184" s="2"/>
      <c r="AK184" s="2"/>
      <c r="AL184" s="2"/>
      <c r="AM184" s="2"/>
      <c r="AN184" s="2"/>
      <c r="AO184" s="2"/>
      <c r="AP184" s="2"/>
      <c r="AQ184" s="2"/>
      <c r="AR184" s="2"/>
      <c r="AS184" s="2"/>
      <c r="AT184" s="2"/>
    </row>
    <row r="185" spans="36:46" ht="14.25" customHeight="1">
      <c r="AJ185" s="2"/>
      <c r="AK185" s="2"/>
      <c r="AL185" s="2"/>
      <c r="AM185" s="2"/>
      <c r="AN185" s="2"/>
      <c r="AO185" s="2"/>
      <c r="AP185" s="2"/>
      <c r="AQ185" s="2"/>
      <c r="AR185" s="2"/>
      <c r="AS185" s="2"/>
      <c r="AT185" s="2"/>
    </row>
    <row r="186" spans="36:46" ht="14.25" customHeight="1">
      <c r="AJ186" s="2"/>
      <c r="AK186" s="2"/>
      <c r="AL186" s="2"/>
      <c r="AM186" s="2"/>
      <c r="AN186" s="2"/>
      <c r="AO186" s="2"/>
      <c r="AP186" s="2"/>
      <c r="AQ186" s="2"/>
      <c r="AR186" s="2"/>
      <c r="AS186" s="2"/>
      <c r="AT186" s="2"/>
    </row>
    <row r="187" spans="36:46" ht="14.25" customHeight="1">
      <c r="AJ187" s="2"/>
      <c r="AK187" s="2"/>
      <c r="AL187" s="2"/>
      <c r="AM187" s="2"/>
      <c r="AN187" s="2"/>
      <c r="AO187" s="2"/>
      <c r="AP187" s="2"/>
      <c r="AQ187" s="2"/>
      <c r="AR187" s="2"/>
      <c r="AS187" s="2"/>
      <c r="AT187" s="2"/>
    </row>
    <row r="188" spans="36:46" ht="14.25" customHeight="1">
      <c r="AJ188" s="2"/>
      <c r="AK188" s="2"/>
      <c r="AL188" s="2"/>
      <c r="AM188" s="2"/>
      <c r="AN188" s="2"/>
      <c r="AO188" s="2"/>
      <c r="AP188" s="2"/>
      <c r="AQ188" s="2"/>
      <c r="AR188" s="2"/>
      <c r="AS188" s="2"/>
      <c r="AT188" s="2"/>
    </row>
    <row r="189" spans="36:46" ht="14.25" customHeight="1">
      <c r="AJ189" s="2"/>
      <c r="AK189" s="2"/>
      <c r="AL189" s="2"/>
      <c r="AM189" s="2"/>
      <c r="AN189" s="2"/>
      <c r="AO189" s="2"/>
      <c r="AP189" s="2"/>
      <c r="AQ189" s="2"/>
      <c r="AR189" s="2"/>
      <c r="AS189" s="2"/>
      <c r="AT189" s="2"/>
    </row>
    <row r="190" spans="36:46" ht="14.25" customHeight="1">
      <c r="AJ190" s="2"/>
      <c r="AK190" s="2"/>
      <c r="AL190" s="2"/>
      <c r="AM190" s="2"/>
      <c r="AN190" s="2"/>
      <c r="AO190" s="2"/>
      <c r="AP190" s="2"/>
      <c r="AQ190" s="2"/>
      <c r="AR190" s="2"/>
      <c r="AS190" s="2"/>
      <c r="AT190" s="2"/>
    </row>
    <row r="191" spans="36:46" ht="14.25" customHeight="1">
      <c r="AJ191" s="2"/>
      <c r="AK191" s="2"/>
      <c r="AL191" s="2"/>
      <c r="AM191" s="2"/>
      <c r="AN191" s="2"/>
      <c r="AO191" s="2"/>
      <c r="AP191" s="2"/>
      <c r="AQ191" s="2"/>
      <c r="AR191" s="2"/>
      <c r="AS191" s="2"/>
      <c r="AT191" s="2"/>
    </row>
    <row r="192" spans="36:46" ht="14.25" customHeight="1">
      <c r="AJ192" s="2"/>
      <c r="AK192" s="2"/>
      <c r="AL192" s="2"/>
      <c r="AM192" s="2"/>
      <c r="AN192" s="2"/>
      <c r="AO192" s="2"/>
      <c r="AP192" s="2"/>
      <c r="AQ192" s="2"/>
      <c r="AR192" s="2"/>
      <c r="AS192" s="2"/>
      <c r="AT192" s="2"/>
    </row>
    <row r="193" spans="36:46" ht="14.25" customHeight="1">
      <c r="AJ193" s="2"/>
      <c r="AK193" s="2"/>
      <c r="AL193" s="2"/>
      <c r="AM193" s="2"/>
      <c r="AN193" s="2"/>
      <c r="AO193" s="2"/>
      <c r="AP193" s="2"/>
      <c r="AQ193" s="2"/>
      <c r="AR193" s="2"/>
      <c r="AS193" s="2"/>
      <c r="AT193" s="2"/>
    </row>
    <row r="194" spans="36:46" ht="14.25" customHeight="1">
      <c r="AJ194" s="2"/>
      <c r="AK194" s="2"/>
      <c r="AL194" s="2"/>
      <c r="AM194" s="2"/>
      <c r="AN194" s="2"/>
      <c r="AO194" s="2"/>
      <c r="AP194" s="2"/>
      <c r="AQ194" s="2"/>
      <c r="AR194" s="2"/>
      <c r="AS194" s="2"/>
      <c r="AT194" s="2"/>
    </row>
    <row r="195" spans="36:46" ht="14.25" customHeight="1">
      <c r="AJ195" s="2"/>
      <c r="AK195" s="2"/>
      <c r="AL195" s="2"/>
      <c r="AM195" s="2"/>
      <c r="AN195" s="2"/>
      <c r="AO195" s="2"/>
      <c r="AP195" s="2"/>
      <c r="AQ195" s="2"/>
      <c r="AR195" s="2"/>
      <c r="AS195" s="2"/>
      <c r="AT195" s="2"/>
    </row>
    <row r="196" spans="36:46" ht="14.25" customHeight="1">
      <c r="AJ196" s="2"/>
      <c r="AK196" s="2"/>
      <c r="AL196" s="2"/>
      <c r="AM196" s="2"/>
      <c r="AN196" s="2"/>
      <c r="AO196" s="2"/>
      <c r="AP196" s="2"/>
      <c r="AQ196" s="2"/>
      <c r="AR196" s="2"/>
      <c r="AS196" s="2"/>
      <c r="AT196" s="2"/>
    </row>
    <row r="197" spans="36:46" ht="14.25" customHeight="1">
      <c r="AJ197" s="2"/>
      <c r="AK197" s="2"/>
      <c r="AL197" s="2"/>
      <c r="AM197" s="2"/>
      <c r="AN197" s="2"/>
      <c r="AO197" s="2"/>
      <c r="AP197" s="2"/>
      <c r="AQ197" s="2"/>
      <c r="AR197" s="2"/>
      <c r="AS197" s="2"/>
      <c r="AT197" s="2"/>
    </row>
    <row r="198" spans="36:46" ht="14.25" customHeight="1">
      <c r="AJ198" s="2"/>
      <c r="AK198" s="2"/>
      <c r="AL198" s="2"/>
      <c r="AM198" s="2"/>
      <c r="AN198" s="2"/>
      <c r="AO198" s="2"/>
      <c r="AP198" s="2"/>
      <c r="AQ198" s="2"/>
      <c r="AR198" s="2"/>
      <c r="AS198" s="2"/>
      <c r="AT198" s="2"/>
    </row>
    <row r="199" spans="36:46" ht="14.25" customHeight="1">
      <c r="AJ199" s="2"/>
      <c r="AK199" s="2"/>
      <c r="AL199" s="2"/>
      <c r="AM199" s="2"/>
      <c r="AN199" s="2"/>
      <c r="AO199" s="2"/>
      <c r="AP199" s="2"/>
      <c r="AQ199" s="2"/>
      <c r="AR199" s="2"/>
      <c r="AS199" s="2"/>
      <c r="AT199" s="2"/>
    </row>
    <row r="200" spans="36:46" ht="14.25" customHeight="1">
      <c r="AJ200" s="2"/>
      <c r="AK200" s="2"/>
      <c r="AL200" s="2"/>
      <c r="AM200" s="2"/>
      <c r="AN200" s="2"/>
      <c r="AO200" s="2"/>
      <c r="AP200" s="2"/>
      <c r="AQ200" s="2"/>
      <c r="AR200" s="2"/>
      <c r="AS200" s="2"/>
      <c r="AT200" s="2"/>
    </row>
    <row r="201" spans="36:46" ht="14.25" customHeight="1">
      <c r="AJ201" s="2"/>
      <c r="AK201" s="2"/>
      <c r="AL201" s="2"/>
      <c r="AM201" s="2"/>
      <c r="AN201" s="2"/>
      <c r="AO201" s="2"/>
      <c r="AP201" s="2"/>
      <c r="AQ201" s="2"/>
      <c r="AR201" s="2"/>
      <c r="AS201" s="2"/>
      <c r="AT201" s="2"/>
    </row>
    <row r="202" spans="36:46" ht="14.25" customHeight="1">
      <c r="AJ202" s="2"/>
      <c r="AK202" s="2"/>
      <c r="AL202" s="2"/>
      <c r="AM202" s="2"/>
      <c r="AN202" s="2"/>
      <c r="AO202" s="2"/>
      <c r="AP202" s="2"/>
      <c r="AQ202" s="2"/>
      <c r="AR202" s="2"/>
      <c r="AS202" s="2"/>
      <c r="AT202" s="2"/>
    </row>
    <row r="203" spans="36:46" ht="14.25" customHeight="1">
      <c r="AJ203" s="2"/>
      <c r="AK203" s="2"/>
      <c r="AL203" s="2"/>
      <c r="AM203" s="2"/>
      <c r="AN203" s="2"/>
      <c r="AO203" s="2"/>
      <c r="AP203" s="2"/>
      <c r="AQ203" s="2"/>
      <c r="AR203" s="2"/>
      <c r="AS203" s="2"/>
      <c r="AT203" s="2"/>
    </row>
    <row r="204" spans="36:46" ht="14.25" customHeight="1">
      <c r="AJ204" s="2"/>
      <c r="AK204" s="2"/>
      <c r="AL204" s="2"/>
      <c r="AM204" s="2"/>
      <c r="AN204" s="2"/>
      <c r="AO204" s="2"/>
      <c r="AP204" s="2"/>
      <c r="AQ204" s="2"/>
      <c r="AR204" s="2"/>
      <c r="AS204" s="2"/>
      <c r="AT204" s="2"/>
    </row>
    <row r="205" spans="36:46" ht="14.25" customHeight="1">
      <c r="AJ205" s="2"/>
      <c r="AK205" s="2"/>
      <c r="AL205" s="2"/>
      <c r="AM205" s="2"/>
      <c r="AN205" s="2"/>
      <c r="AO205" s="2"/>
      <c r="AP205" s="2"/>
      <c r="AQ205" s="2"/>
      <c r="AR205" s="2"/>
      <c r="AS205" s="2"/>
      <c r="AT205" s="2"/>
    </row>
    <row r="206" spans="36:46" ht="14.25" customHeight="1">
      <c r="AJ206" s="2"/>
      <c r="AK206" s="2"/>
      <c r="AL206" s="2"/>
      <c r="AM206" s="2"/>
      <c r="AN206" s="2"/>
      <c r="AO206" s="2"/>
      <c r="AP206" s="2"/>
      <c r="AQ206" s="2"/>
      <c r="AR206" s="2"/>
      <c r="AS206" s="2"/>
      <c r="AT206" s="2"/>
    </row>
    <row r="207" spans="36:46" ht="14.25" customHeight="1">
      <c r="AJ207" s="2"/>
      <c r="AK207" s="2"/>
      <c r="AL207" s="2"/>
      <c r="AM207" s="2"/>
      <c r="AN207" s="2"/>
      <c r="AO207" s="2"/>
      <c r="AP207" s="2"/>
      <c r="AQ207" s="2"/>
      <c r="AR207" s="2"/>
      <c r="AS207" s="2"/>
      <c r="AT207" s="2"/>
    </row>
    <row r="208" spans="36:46" ht="14.25" customHeight="1">
      <c r="AJ208" s="2"/>
      <c r="AK208" s="2"/>
      <c r="AL208" s="2"/>
      <c r="AM208" s="2"/>
      <c r="AN208" s="2"/>
      <c r="AO208" s="2"/>
      <c r="AP208" s="2"/>
      <c r="AQ208" s="2"/>
      <c r="AR208" s="2"/>
      <c r="AS208" s="2"/>
      <c r="AT208" s="2"/>
    </row>
    <row r="209" spans="36:46" ht="14.25" customHeight="1">
      <c r="AJ209" s="2"/>
      <c r="AK209" s="2"/>
      <c r="AL209" s="2"/>
      <c r="AM209" s="2"/>
      <c r="AN209" s="2"/>
      <c r="AO209" s="2"/>
      <c r="AP209" s="2"/>
      <c r="AQ209" s="2"/>
      <c r="AR209" s="2"/>
      <c r="AS209" s="2"/>
      <c r="AT209" s="2"/>
    </row>
    <row r="210" spans="36:46" ht="14.25" customHeight="1">
      <c r="AJ210" s="2"/>
      <c r="AK210" s="2"/>
      <c r="AL210" s="2"/>
      <c r="AM210" s="2"/>
      <c r="AN210" s="2"/>
      <c r="AO210" s="2"/>
      <c r="AP210" s="2"/>
      <c r="AQ210" s="2"/>
      <c r="AR210" s="2"/>
      <c r="AS210" s="2"/>
      <c r="AT210" s="2"/>
    </row>
    <row r="211" spans="36:46" ht="14.25" customHeight="1">
      <c r="AJ211" s="2"/>
      <c r="AK211" s="2"/>
      <c r="AL211" s="2"/>
      <c r="AM211" s="2"/>
      <c r="AN211" s="2"/>
      <c r="AO211" s="2"/>
      <c r="AP211" s="2"/>
      <c r="AQ211" s="2"/>
      <c r="AR211" s="2"/>
      <c r="AS211" s="2"/>
      <c r="AT211" s="2"/>
    </row>
    <row r="212" spans="36:46" ht="14.25" customHeight="1">
      <c r="AJ212" s="2"/>
      <c r="AK212" s="2"/>
      <c r="AL212" s="2"/>
      <c r="AM212" s="2"/>
      <c r="AN212" s="2"/>
      <c r="AO212" s="2"/>
      <c r="AP212" s="2"/>
      <c r="AQ212" s="2"/>
      <c r="AR212" s="2"/>
      <c r="AS212" s="2"/>
      <c r="AT212" s="2"/>
    </row>
    <row r="213" spans="36:46" ht="14.25" customHeight="1">
      <c r="AJ213" s="2"/>
      <c r="AK213" s="2"/>
      <c r="AL213" s="2"/>
      <c r="AM213" s="2"/>
      <c r="AN213" s="2"/>
      <c r="AO213" s="2"/>
      <c r="AP213" s="2"/>
      <c r="AQ213" s="2"/>
      <c r="AR213" s="2"/>
      <c r="AS213" s="2"/>
      <c r="AT213" s="2"/>
    </row>
    <row r="214" spans="36:46" ht="14.25" customHeight="1">
      <c r="AJ214" s="2"/>
      <c r="AK214" s="2"/>
      <c r="AL214" s="2"/>
      <c r="AM214" s="2"/>
      <c r="AN214" s="2"/>
      <c r="AO214" s="2"/>
      <c r="AP214" s="2"/>
      <c r="AQ214" s="2"/>
      <c r="AR214" s="2"/>
      <c r="AS214" s="2"/>
      <c r="AT214" s="2"/>
    </row>
    <row r="215" spans="36:46" ht="14.25" customHeight="1">
      <c r="AJ215" s="2"/>
      <c r="AK215" s="2"/>
      <c r="AL215" s="2"/>
      <c r="AM215" s="2"/>
      <c r="AN215" s="2"/>
      <c r="AO215" s="2"/>
      <c r="AP215" s="2"/>
      <c r="AQ215" s="2"/>
      <c r="AR215" s="2"/>
      <c r="AS215" s="2"/>
      <c r="AT215" s="2"/>
    </row>
    <row r="216" spans="36:46" ht="14.25" customHeight="1">
      <c r="AJ216" s="2"/>
      <c r="AK216" s="2"/>
      <c r="AL216" s="2"/>
      <c r="AM216" s="2"/>
      <c r="AN216" s="2"/>
      <c r="AO216" s="2"/>
      <c r="AP216" s="2"/>
      <c r="AQ216" s="2"/>
      <c r="AR216" s="2"/>
      <c r="AS216" s="2"/>
      <c r="AT216" s="2"/>
    </row>
    <row r="217" spans="36:46" ht="14.25" customHeight="1">
      <c r="AJ217" s="2"/>
      <c r="AK217" s="2"/>
      <c r="AL217" s="2"/>
      <c r="AM217" s="2"/>
      <c r="AN217" s="2"/>
      <c r="AO217" s="2"/>
      <c r="AP217" s="2"/>
      <c r="AQ217" s="2"/>
      <c r="AR217" s="2"/>
      <c r="AS217" s="2"/>
      <c r="AT217" s="2"/>
    </row>
    <row r="218" spans="36:46" ht="14.25" customHeight="1">
      <c r="AJ218" s="2"/>
      <c r="AK218" s="2"/>
      <c r="AL218" s="2"/>
      <c r="AM218" s="2"/>
      <c r="AN218" s="2"/>
      <c r="AO218" s="2"/>
      <c r="AP218" s="2"/>
      <c r="AQ218" s="2"/>
      <c r="AR218" s="2"/>
      <c r="AS218" s="2"/>
      <c r="AT218" s="2"/>
    </row>
    <row r="219" spans="36:46" ht="14.25" customHeight="1">
      <c r="AJ219" s="2"/>
      <c r="AK219" s="2"/>
      <c r="AL219" s="2"/>
      <c r="AM219" s="2"/>
      <c r="AN219" s="2"/>
      <c r="AO219" s="2"/>
      <c r="AP219" s="2"/>
      <c r="AQ219" s="2"/>
      <c r="AR219" s="2"/>
      <c r="AS219" s="2"/>
      <c r="AT219" s="2"/>
    </row>
    <row r="220" spans="36:46" ht="14.25" customHeight="1">
      <c r="AJ220" s="2"/>
      <c r="AK220" s="2"/>
      <c r="AL220" s="2"/>
      <c r="AM220" s="2"/>
      <c r="AN220" s="2"/>
      <c r="AO220" s="2"/>
      <c r="AP220" s="2"/>
      <c r="AQ220" s="2"/>
      <c r="AR220" s="2"/>
      <c r="AS220" s="2"/>
      <c r="AT220" s="2"/>
    </row>
    <row r="221" spans="36:46" ht="14.25" customHeight="1">
      <c r="AJ221" s="2"/>
      <c r="AK221" s="2"/>
      <c r="AL221" s="2"/>
      <c r="AM221" s="2"/>
      <c r="AN221" s="2"/>
      <c r="AO221" s="2"/>
      <c r="AP221" s="2"/>
      <c r="AQ221" s="2"/>
      <c r="AR221" s="2"/>
      <c r="AS221" s="2"/>
      <c r="AT221" s="2"/>
    </row>
    <row r="222" spans="36:46" ht="14.25" customHeight="1">
      <c r="AJ222" s="2"/>
      <c r="AK222" s="2"/>
      <c r="AL222" s="2"/>
      <c r="AM222" s="2"/>
      <c r="AN222" s="2"/>
      <c r="AO222" s="2"/>
      <c r="AP222" s="2"/>
      <c r="AQ222" s="2"/>
      <c r="AR222" s="2"/>
      <c r="AS222" s="2"/>
      <c r="AT222" s="2"/>
    </row>
    <row r="223" spans="36:46" ht="14.25" customHeight="1">
      <c r="AJ223" s="2"/>
      <c r="AK223" s="2"/>
      <c r="AL223" s="2"/>
      <c r="AM223" s="2"/>
      <c r="AN223" s="2"/>
      <c r="AO223" s="2"/>
      <c r="AP223" s="2"/>
      <c r="AQ223" s="2"/>
      <c r="AR223" s="2"/>
      <c r="AS223" s="2"/>
      <c r="AT223" s="2"/>
    </row>
    <row r="224" spans="36:46" ht="14.25" customHeight="1">
      <c r="AJ224" s="2"/>
      <c r="AK224" s="2"/>
      <c r="AL224" s="2"/>
      <c r="AM224" s="2"/>
      <c r="AN224" s="2"/>
      <c r="AO224" s="2"/>
      <c r="AP224" s="2"/>
      <c r="AQ224" s="2"/>
      <c r="AR224" s="2"/>
      <c r="AS224" s="2"/>
      <c r="AT224" s="2"/>
    </row>
    <row r="225" spans="36:46" ht="14.25" customHeight="1">
      <c r="AJ225" s="2"/>
      <c r="AK225" s="2"/>
      <c r="AL225" s="2"/>
      <c r="AM225" s="2"/>
      <c r="AN225" s="2"/>
      <c r="AO225" s="2"/>
      <c r="AP225" s="2"/>
      <c r="AQ225" s="2"/>
      <c r="AR225" s="2"/>
      <c r="AS225" s="2"/>
      <c r="AT225" s="2"/>
    </row>
    <row r="226" spans="36:46" ht="14.25" customHeight="1">
      <c r="AJ226" s="2"/>
      <c r="AK226" s="2"/>
      <c r="AL226" s="2"/>
      <c r="AM226" s="2"/>
      <c r="AN226" s="2"/>
      <c r="AO226" s="2"/>
      <c r="AP226" s="2"/>
      <c r="AQ226" s="2"/>
      <c r="AR226" s="2"/>
      <c r="AS226" s="2"/>
      <c r="AT226" s="2"/>
    </row>
    <row r="227" spans="36:46" ht="14.25" customHeight="1">
      <c r="AJ227" s="2"/>
      <c r="AK227" s="2"/>
      <c r="AL227" s="2"/>
      <c r="AM227" s="2"/>
      <c r="AN227" s="2"/>
      <c r="AO227" s="2"/>
      <c r="AP227" s="2"/>
      <c r="AQ227" s="2"/>
      <c r="AR227" s="2"/>
      <c r="AS227" s="2"/>
      <c r="AT227" s="2"/>
    </row>
    <row r="228" spans="36:46" ht="14.25" customHeight="1">
      <c r="AJ228" s="2"/>
      <c r="AK228" s="2"/>
      <c r="AL228" s="2"/>
      <c r="AM228" s="2"/>
      <c r="AN228" s="2"/>
      <c r="AO228" s="2"/>
      <c r="AP228" s="2"/>
      <c r="AQ228" s="2"/>
      <c r="AR228" s="2"/>
      <c r="AS228" s="2"/>
      <c r="AT228" s="2"/>
    </row>
    <row r="229" spans="36:46" ht="14.25" customHeight="1">
      <c r="AJ229" s="2"/>
      <c r="AK229" s="2"/>
      <c r="AL229" s="2"/>
      <c r="AM229" s="2"/>
      <c r="AN229" s="2"/>
      <c r="AO229" s="2"/>
      <c r="AP229" s="2"/>
      <c r="AQ229" s="2"/>
      <c r="AR229" s="2"/>
      <c r="AS229" s="2"/>
      <c r="AT229" s="2"/>
    </row>
    <row r="230" spans="36:46" ht="14.25" customHeight="1">
      <c r="AJ230" s="2"/>
      <c r="AK230" s="2"/>
      <c r="AL230" s="2"/>
      <c r="AM230" s="2"/>
      <c r="AN230" s="2"/>
      <c r="AO230" s="2"/>
      <c r="AP230" s="2"/>
      <c r="AQ230" s="2"/>
      <c r="AR230" s="2"/>
      <c r="AS230" s="2"/>
      <c r="AT230" s="2"/>
    </row>
    <row r="231" spans="36:46" ht="14.25" customHeight="1">
      <c r="AJ231" s="2"/>
      <c r="AK231" s="2"/>
      <c r="AL231" s="2"/>
      <c r="AM231" s="2"/>
      <c r="AN231" s="2"/>
      <c r="AO231" s="2"/>
      <c r="AP231" s="2"/>
      <c r="AQ231" s="2"/>
      <c r="AR231" s="2"/>
      <c r="AS231" s="2"/>
      <c r="AT231" s="2"/>
    </row>
    <row r="232" spans="36:46" ht="14.25" customHeight="1">
      <c r="AJ232" s="2"/>
      <c r="AK232" s="2"/>
      <c r="AL232" s="2"/>
      <c r="AM232" s="2"/>
      <c r="AN232" s="2"/>
      <c r="AO232" s="2"/>
      <c r="AP232" s="2"/>
      <c r="AQ232" s="2"/>
      <c r="AR232" s="2"/>
      <c r="AS232" s="2"/>
      <c r="AT232" s="2"/>
    </row>
    <row r="233" spans="36:46" ht="14.25" customHeight="1">
      <c r="AJ233" s="2"/>
      <c r="AK233" s="2"/>
      <c r="AL233" s="2"/>
      <c r="AM233" s="2"/>
      <c r="AN233" s="2"/>
      <c r="AO233" s="2"/>
      <c r="AP233" s="2"/>
      <c r="AQ233" s="2"/>
      <c r="AR233" s="2"/>
      <c r="AS233" s="2"/>
      <c r="AT233" s="2"/>
    </row>
    <row r="234" spans="36:46" ht="14.25" customHeight="1">
      <c r="AJ234" s="2"/>
      <c r="AK234" s="2"/>
      <c r="AL234" s="2"/>
      <c r="AM234" s="2"/>
      <c r="AN234" s="2"/>
      <c r="AO234" s="2"/>
      <c r="AP234" s="2"/>
      <c r="AQ234" s="2"/>
      <c r="AR234" s="2"/>
      <c r="AS234" s="2"/>
      <c r="AT234" s="2"/>
    </row>
    <row r="235" spans="36:46" ht="14.25" customHeight="1">
      <c r="AJ235" s="2"/>
      <c r="AK235" s="2"/>
      <c r="AL235" s="2"/>
      <c r="AM235" s="2"/>
      <c r="AN235" s="2"/>
      <c r="AO235" s="2"/>
      <c r="AP235" s="2"/>
      <c r="AQ235" s="2"/>
      <c r="AR235" s="2"/>
      <c r="AS235" s="2"/>
      <c r="AT235" s="2"/>
    </row>
    <row r="236" spans="36:46" ht="14.25" customHeight="1">
      <c r="AJ236" s="2"/>
      <c r="AK236" s="2"/>
      <c r="AL236" s="2"/>
      <c r="AM236" s="2"/>
      <c r="AN236" s="2"/>
      <c r="AO236" s="2"/>
      <c r="AP236" s="2"/>
      <c r="AQ236" s="2"/>
      <c r="AR236" s="2"/>
      <c r="AS236" s="2"/>
      <c r="AT236" s="2"/>
    </row>
    <row r="237" spans="36:46" ht="14.25" customHeight="1">
      <c r="AJ237" s="2"/>
      <c r="AK237" s="2"/>
      <c r="AL237" s="2"/>
      <c r="AM237" s="2"/>
      <c r="AN237" s="2"/>
      <c r="AO237" s="2"/>
      <c r="AP237" s="2"/>
      <c r="AQ237" s="2"/>
      <c r="AR237" s="2"/>
      <c r="AS237" s="2"/>
      <c r="AT237" s="2"/>
    </row>
    <row r="238" spans="36:46" ht="14.25" customHeight="1">
      <c r="AJ238" s="2"/>
      <c r="AK238" s="2"/>
      <c r="AL238" s="2"/>
      <c r="AM238" s="2"/>
      <c r="AN238" s="2"/>
      <c r="AO238" s="2"/>
      <c r="AP238" s="2"/>
      <c r="AQ238" s="2"/>
      <c r="AR238" s="2"/>
      <c r="AS238" s="2"/>
      <c r="AT238" s="2"/>
    </row>
    <row r="239" spans="36:46" ht="14.25" customHeight="1">
      <c r="AJ239" s="2"/>
      <c r="AK239" s="2"/>
      <c r="AL239" s="2"/>
      <c r="AM239" s="2"/>
      <c r="AN239" s="2"/>
      <c r="AO239" s="2"/>
      <c r="AP239" s="2"/>
      <c r="AQ239" s="2"/>
      <c r="AR239" s="2"/>
      <c r="AS239" s="2"/>
      <c r="AT239" s="2"/>
    </row>
    <row r="240" spans="36:46" ht="14.25" customHeight="1">
      <c r="AJ240" s="2"/>
      <c r="AK240" s="2"/>
      <c r="AL240" s="2"/>
      <c r="AM240" s="2"/>
      <c r="AN240" s="2"/>
      <c r="AO240" s="2"/>
      <c r="AP240" s="2"/>
      <c r="AQ240" s="2"/>
      <c r="AR240" s="2"/>
      <c r="AS240" s="2"/>
      <c r="AT240" s="2"/>
    </row>
    <row r="241" spans="36:46" ht="14.25" customHeight="1">
      <c r="AJ241" s="2"/>
      <c r="AK241" s="2"/>
      <c r="AL241" s="2"/>
      <c r="AM241" s="2"/>
      <c r="AN241" s="2"/>
      <c r="AO241" s="2"/>
      <c r="AP241" s="2"/>
      <c r="AQ241" s="2"/>
      <c r="AR241" s="2"/>
      <c r="AS241" s="2"/>
      <c r="AT241" s="2"/>
    </row>
    <row r="242" spans="36:46" ht="14.25" customHeight="1">
      <c r="AJ242" s="2"/>
      <c r="AK242" s="2"/>
      <c r="AL242" s="2"/>
      <c r="AM242" s="2"/>
      <c r="AN242" s="2"/>
      <c r="AO242" s="2"/>
      <c r="AP242" s="2"/>
      <c r="AQ242" s="2"/>
      <c r="AR242" s="2"/>
      <c r="AS242" s="2"/>
      <c r="AT242" s="2"/>
    </row>
    <row r="243" spans="36:46" ht="14.25" customHeight="1">
      <c r="AJ243" s="2"/>
      <c r="AK243" s="2"/>
      <c r="AL243" s="2"/>
      <c r="AM243" s="2"/>
      <c r="AN243" s="2"/>
      <c r="AO243" s="2"/>
      <c r="AP243" s="2"/>
      <c r="AQ243" s="2"/>
      <c r="AR243" s="2"/>
      <c r="AS243" s="2"/>
      <c r="AT243" s="2"/>
    </row>
    <row r="244" spans="36:46" ht="14.25" customHeight="1">
      <c r="AJ244" s="2"/>
      <c r="AK244" s="2"/>
      <c r="AL244" s="2"/>
      <c r="AM244" s="2"/>
      <c r="AN244" s="2"/>
      <c r="AO244" s="2"/>
      <c r="AP244" s="2"/>
      <c r="AQ244" s="2"/>
      <c r="AR244" s="2"/>
      <c r="AS244" s="2"/>
      <c r="AT244" s="2"/>
    </row>
    <row r="245" spans="36:46" ht="14.25" customHeight="1">
      <c r="AJ245" s="2"/>
      <c r="AK245" s="2"/>
      <c r="AL245" s="2"/>
      <c r="AM245" s="2"/>
      <c r="AN245" s="2"/>
      <c r="AO245" s="2"/>
      <c r="AP245" s="2"/>
      <c r="AQ245" s="2"/>
      <c r="AR245" s="2"/>
      <c r="AS245" s="2"/>
      <c r="AT245" s="2"/>
    </row>
    <row r="246" spans="36:46" ht="14.25" customHeight="1">
      <c r="AJ246" s="2"/>
      <c r="AK246" s="2"/>
      <c r="AL246" s="2"/>
      <c r="AM246" s="2"/>
      <c r="AN246" s="2"/>
      <c r="AO246" s="2"/>
      <c r="AP246" s="2"/>
      <c r="AQ246" s="2"/>
      <c r="AR246" s="2"/>
      <c r="AS246" s="2"/>
      <c r="AT246" s="2"/>
    </row>
    <row r="247" spans="36:46" ht="14.25" customHeight="1">
      <c r="AJ247" s="2"/>
      <c r="AK247" s="2"/>
      <c r="AL247" s="2"/>
      <c r="AM247" s="2"/>
      <c r="AN247" s="2"/>
      <c r="AO247" s="2"/>
      <c r="AP247" s="2"/>
      <c r="AQ247" s="2"/>
      <c r="AR247" s="2"/>
      <c r="AS247" s="2"/>
      <c r="AT247" s="2"/>
    </row>
    <row r="248" spans="36:46" ht="14.25" customHeight="1">
      <c r="AJ248" s="2"/>
      <c r="AK248" s="2"/>
      <c r="AL248" s="2"/>
      <c r="AM248" s="2"/>
      <c r="AN248" s="2"/>
      <c r="AO248" s="2"/>
      <c r="AP248" s="2"/>
      <c r="AQ248" s="2"/>
      <c r="AR248" s="2"/>
      <c r="AS248" s="2"/>
      <c r="AT248" s="2"/>
    </row>
    <row r="249" spans="36:46" ht="14.25" customHeight="1">
      <c r="AJ249" s="2"/>
      <c r="AK249" s="2"/>
      <c r="AL249" s="2"/>
      <c r="AM249" s="2"/>
      <c r="AN249" s="2"/>
      <c r="AO249" s="2"/>
      <c r="AP249" s="2"/>
      <c r="AQ249" s="2"/>
      <c r="AR249" s="2"/>
      <c r="AS249" s="2"/>
      <c r="AT249" s="2"/>
    </row>
    <row r="250" spans="36:46" ht="14.25" customHeight="1">
      <c r="AJ250" s="2"/>
      <c r="AK250" s="2"/>
      <c r="AL250" s="2"/>
      <c r="AM250" s="2"/>
      <c r="AN250" s="2"/>
      <c r="AO250" s="2"/>
      <c r="AP250" s="2"/>
      <c r="AQ250" s="2"/>
      <c r="AR250" s="2"/>
      <c r="AS250" s="2"/>
      <c r="AT250" s="2"/>
    </row>
    <row r="251" spans="36:46" ht="14.25" customHeight="1">
      <c r="AJ251" s="2"/>
      <c r="AK251" s="2"/>
      <c r="AL251" s="2"/>
      <c r="AM251" s="2"/>
      <c r="AN251" s="2"/>
      <c r="AO251" s="2"/>
      <c r="AP251" s="2"/>
      <c r="AQ251" s="2"/>
      <c r="AR251" s="2"/>
      <c r="AS251" s="2"/>
      <c r="AT251" s="2"/>
    </row>
    <row r="252" spans="36:46" ht="14.25" customHeight="1">
      <c r="AJ252" s="2"/>
      <c r="AK252" s="2"/>
      <c r="AL252" s="2"/>
      <c r="AM252" s="2"/>
      <c r="AN252" s="2"/>
      <c r="AO252" s="2"/>
      <c r="AP252" s="2"/>
      <c r="AQ252" s="2"/>
      <c r="AR252" s="2"/>
      <c r="AS252" s="2"/>
      <c r="AT252" s="2"/>
    </row>
    <row r="253" spans="36:46" ht="14.25" customHeight="1">
      <c r="AJ253" s="2"/>
      <c r="AK253" s="2"/>
      <c r="AL253" s="2"/>
      <c r="AM253" s="2"/>
      <c r="AN253" s="2"/>
      <c r="AO253" s="2"/>
      <c r="AP253" s="2"/>
      <c r="AQ253" s="2"/>
      <c r="AR253" s="2"/>
      <c r="AS253" s="2"/>
      <c r="AT253" s="2"/>
    </row>
    <row r="254" spans="36:46" ht="14.25" customHeight="1">
      <c r="AJ254" s="2"/>
      <c r="AK254" s="2"/>
      <c r="AL254" s="2"/>
      <c r="AM254" s="2"/>
      <c r="AN254" s="2"/>
      <c r="AO254" s="2"/>
      <c r="AP254" s="2"/>
      <c r="AQ254" s="2"/>
      <c r="AR254" s="2"/>
      <c r="AS254" s="2"/>
      <c r="AT254" s="2"/>
    </row>
    <row r="255" spans="36:46" ht="14.25" customHeight="1">
      <c r="AJ255" s="2"/>
      <c r="AK255" s="2"/>
      <c r="AL255" s="2"/>
      <c r="AM255" s="2"/>
      <c r="AN255" s="2"/>
      <c r="AO255" s="2"/>
      <c r="AP255" s="2"/>
      <c r="AQ255" s="2"/>
      <c r="AR255" s="2"/>
      <c r="AS255" s="2"/>
      <c r="AT255" s="2"/>
    </row>
    <row r="256" spans="36:46" ht="14.25" customHeight="1">
      <c r="AJ256" s="2"/>
      <c r="AK256" s="2"/>
      <c r="AL256" s="2"/>
      <c r="AM256" s="2"/>
      <c r="AN256" s="2"/>
      <c r="AO256" s="2"/>
      <c r="AP256" s="2"/>
      <c r="AQ256" s="2"/>
      <c r="AR256" s="2"/>
      <c r="AS256" s="2"/>
      <c r="AT256" s="2"/>
    </row>
    <row r="257" spans="36:46" ht="14.25" customHeight="1">
      <c r="AJ257" s="2"/>
      <c r="AK257" s="2"/>
      <c r="AL257" s="2"/>
      <c r="AM257" s="2"/>
      <c r="AN257" s="2"/>
      <c r="AO257" s="2"/>
      <c r="AP257" s="2"/>
      <c r="AQ257" s="2"/>
      <c r="AR257" s="2"/>
      <c r="AS257" s="2"/>
      <c r="AT257" s="2"/>
    </row>
    <row r="258" spans="36:46" ht="14.25" customHeight="1">
      <c r="AJ258" s="2"/>
      <c r="AK258" s="2"/>
      <c r="AL258" s="2"/>
      <c r="AM258" s="2"/>
      <c r="AN258" s="2"/>
      <c r="AO258" s="2"/>
      <c r="AP258" s="2"/>
      <c r="AQ258" s="2"/>
      <c r="AR258" s="2"/>
      <c r="AS258" s="2"/>
      <c r="AT258" s="2"/>
    </row>
    <row r="259" spans="36:46" ht="14.25" customHeight="1">
      <c r="AJ259" s="2"/>
      <c r="AK259" s="2"/>
      <c r="AL259" s="2"/>
      <c r="AM259" s="2"/>
      <c r="AN259" s="2"/>
      <c r="AO259" s="2"/>
      <c r="AP259" s="2"/>
      <c r="AQ259" s="2"/>
      <c r="AR259" s="2"/>
      <c r="AS259" s="2"/>
      <c r="AT259" s="2"/>
    </row>
    <row r="260" spans="36:46" ht="14.25" customHeight="1">
      <c r="AJ260" s="2"/>
      <c r="AK260" s="2"/>
      <c r="AL260" s="2"/>
      <c r="AM260" s="2"/>
      <c r="AN260" s="2"/>
      <c r="AO260" s="2"/>
      <c r="AP260" s="2"/>
      <c r="AQ260" s="2"/>
      <c r="AR260" s="2"/>
      <c r="AS260" s="2"/>
      <c r="AT260" s="2"/>
    </row>
    <row r="261" spans="36:46" ht="14.25" customHeight="1">
      <c r="AJ261" s="2"/>
      <c r="AK261" s="2"/>
      <c r="AL261" s="2"/>
      <c r="AM261" s="2"/>
      <c r="AN261" s="2"/>
      <c r="AO261" s="2"/>
      <c r="AP261" s="2"/>
      <c r="AQ261" s="2"/>
      <c r="AR261" s="2"/>
      <c r="AS261" s="2"/>
      <c r="AT261" s="2"/>
    </row>
    <row r="262" spans="36:46" ht="14.25" customHeight="1">
      <c r="AJ262" s="2"/>
      <c r="AK262" s="2"/>
      <c r="AL262" s="2"/>
      <c r="AM262" s="2"/>
      <c r="AN262" s="2"/>
      <c r="AO262" s="2"/>
      <c r="AP262" s="2"/>
      <c r="AQ262" s="2"/>
      <c r="AR262" s="2"/>
      <c r="AS262" s="2"/>
      <c r="AT262" s="2"/>
    </row>
    <row r="263" spans="36:46" ht="14.25" customHeight="1">
      <c r="AJ263" s="2"/>
      <c r="AK263" s="2"/>
      <c r="AL263" s="2"/>
      <c r="AM263" s="2"/>
      <c r="AN263" s="2"/>
      <c r="AO263" s="2"/>
      <c r="AP263" s="2"/>
      <c r="AQ263" s="2"/>
      <c r="AR263" s="2"/>
      <c r="AS263" s="2"/>
      <c r="AT263" s="2"/>
    </row>
    <row r="264" spans="36:46" ht="14.25" customHeight="1">
      <c r="AJ264" s="2"/>
      <c r="AK264" s="2"/>
      <c r="AL264" s="2"/>
      <c r="AM264" s="2"/>
      <c r="AN264" s="2"/>
      <c r="AO264" s="2"/>
      <c r="AP264" s="2"/>
      <c r="AQ264" s="2"/>
      <c r="AR264" s="2"/>
      <c r="AS264" s="2"/>
      <c r="AT264" s="2"/>
    </row>
    <row r="265" spans="36:46" ht="14.25" customHeight="1">
      <c r="AJ265" s="2"/>
      <c r="AK265" s="2"/>
      <c r="AL265" s="2"/>
      <c r="AM265" s="2"/>
      <c r="AN265" s="2"/>
      <c r="AO265" s="2"/>
      <c r="AP265" s="2"/>
      <c r="AQ265" s="2"/>
      <c r="AR265" s="2"/>
      <c r="AS265" s="2"/>
      <c r="AT265" s="2"/>
    </row>
    <row r="266" spans="36:46" ht="14.25" customHeight="1">
      <c r="AJ266" s="2"/>
      <c r="AK266" s="2"/>
      <c r="AL266" s="2"/>
      <c r="AM266" s="2"/>
      <c r="AN266" s="2"/>
      <c r="AO266" s="2"/>
      <c r="AP266" s="2"/>
      <c r="AQ266" s="2"/>
      <c r="AR266" s="2"/>
      <c r="AS266" s="2"/>
      <c r="AT266" s="2"/>
    </row>
    <row r="267" spans="36:46" ht="14.25" customHeight="1">
      <c r="AJ267" s="2"/>
      <c r="AK267" s="2"/>
      <c r="AL267" s="2"/>
      <c r="AM267" s="2"/>
      <c r="AN267" s="2"/>
      <c r="AO267" s="2"/>
      <c r="AP267" s="2"/>
      <c r="AQ267" s="2"/>
      <c r="AR267" s="2"/>
      <c r="AS267" s="2"/>
      <c r="AT267" s="2"/>
    </row>
    <row r="268" spans="36:46" ht="14.25" customHeight="1">
      <c r="AJ268" s="2"/>
      <c r="AK268" s="2"/>
      <c r="AL268" s="2"/>
      <c r="AM268" s="2"/>
      <c r="AN268" s="2"/>
      <c r="AO268" s="2"/>
      <c r="AP268" s="2"/>
      <c r="AQ268" s="2"/>
      <c r="AR268" s="2"/>
      <c r="AS268" s="2"/>
      <c r="AT268" s="2"/>
    </row>
    <row r="269" spans="36:46" ht="14.25" customHeight="1">
      <c r="AJ269" s="2"/>
      <c r="AK269" s="2"/>
      <c r="AL269" s="2"/>
      <c r="AM269" s="2"/>
      <c r="AN269" s="2"/>
      <c r="AO269" s="2"/>
      <c r="AP269" s="2"/>
      <c r="AQ269" s="2"/>
      <c r="AR269" s="2"/>
      <c r="AS269" s="2"/>
      <c r="AT269" s="2"/>
    </row>
    <row r="270" spans="36:46" ht="14.25" customHeight="1">
      <c r="AJ270" s="2"/>
      <c r="AK270" s="2"/>
      <c r="AL270" s="2"/>
      <c r="AM270" s="2"/>
      <c r="AN270" s="2"/>
      <c r="AO270" s="2"/>
      <c r="AP270" s="2"/>
      <c r="AQ270" s="2"/>
      <c r="AR270" s="2"/>
      <c r="AS270" s="2"/>
      <c r="AT270" s="2"/>
    </row>
    <row r="271" spans="36:46" ht="14.25" customHeight="1">
      <c r="AJ271" s="2"/>
      <c r="AK271" s="2"/>
      <c r="AL271" s="2"/>
      <c r="AM271" s="2"/>
      <c r="AN271" s="2"/>
      <c r="AO271" s="2"/>
      <c r="AP271" s="2"/>
      <c r="AQ271" s="2"/>
      <c r="AR271" s="2"/>
      <c r="AS271" s="2"/>
      <c r="AT271" s="2"/>
    </row>
    <row r="272" spans="36:46" ht="14.25" customHeight="1">
      <c r="AJ272" s="2"/>
      <c r="AK272" s="2"/>
      <c r="AL272" s="2"/>
      <c r="AM272" s="2"/>
      <c r="AN272" s="2"/>
      <c r="AO272" s="2"/>
      <c r="AP272" s="2"/>
      <c r="AQ272" s="2"/>
      <c r="AR272" s="2"/>
      <c r="AS272" s="2"/>
      <c r="AT272" s="2"/>
    </row>
    <row r="273" spans="36:46" ht="14.25" customHeight="1">
      <c r="AJ273" s="2"/>
      <c r="AK273" s="2"/>
      <c r="AL273" s="2"/>
      <c r="AM273" s="2"/>
      <c r="AN273" s="2"/>
      <c r="AO273" s="2"/>
      <c r="AP273" s="2"/>
      <c r="AQ273" s="2"/>
      <c r="AR273" s="2"/>
      <c r="AS273" s="2"/>
      <c r="AT273" s="2"/>
    </row>
    <row r="274" spans="36:46" ht="14.25" customHeight="1">
      <c r="AJ274" s="2"/>
      <c r="AK274" s="2"/>
      <c r="AL274" s="2"/>
      <c r="AM274" s="2"/>
      <c r="AN274" s="2"/>
      <c r="AO274" s="2"/>
      <c r="AP274" s="2"/>
      <c r="AQ274" s="2"/>
      <c r="AR274" s="2"/>
      <c r="AS274" s="2"/>
      <c r="AT274" s="2"/>
    </row>
    <row r="275" spans="36:46" ht="14.25" customHeight="1">
      <c r="AJ275" s="2"/>
      <c r="AK275" s="2"/>
      <c r="AL275" s="2"/>
      <c r="AM275" s="2"/>
      <c r="AN275" s="2"/>
      <c r="AO275" s="2"/>
      <c r="AP275" s="2"/>
      <c r="AQ275" s="2"/>
      <c r="AR275" s="2"/>
      <c r="AS275" s="2"/>
      <c r="AT275" s="2"/>
    </row>
    <row r="276" spans="36:46" ht="14.25" customHeight="1">
      <c r="AJ276" s="2"/>
      <c r="AK276" s="2"/>
      <c r="AL276" s="2"/>
      <c r="AM276" s="2"/>
      <c r="AN276" s="2"/>
      <c r="AO276" s="2"/>
      <c r="AP276" s="2"/>
      <c r="AQ276" s="2"/>
      <c r="AR276" s="2"/>
      <c r="AS276" s="2"/>
      <c r="AT276" s="2"/>
    </row>
    <row r="277" spans="36:46" ht="14.25" customHeight="1">
      <c r="AJ277" s="2"/>
      <c r="AK277" s="2"/>
      <c r="AL277" s="2"/>
      <c r="AM277" s="2"/>
      <c r="AN277" s="2"/>
      <c r="AO277" s="2"/>
      <c r="AP277" s="2"/>
      <c r="AQ277" s="2"/>
      <c r="AR277" s="2"/>
      <c r="AS277" s="2"/>
      <c r="AT277" s="2"/>
    </row>
    <row r="278" spans="36:46" ht="14.25" customHeight="1">
      <c r="AJ278" s="2"/>
      <c r="AK278" s="2"/>
      <c r="AL278" s="2"/>
      <c r="AM278" s="2"/>
      <c r="AN278" s="2"/>
      <c r="AO278" s="2"/>
      <c r="AP278" s="2"/>
      <c r="AQ278" s="2"/>
      <c r="AR278" s="2"/>
      <c r="AS278" s="2"/>
      <c r="AT278" s="2"/>
    </row>
    <row r="279" spans="36:46" ht="14.25" customHeight="1">
      <c r="AJ279" s="2"/>
      <c r="AK279" s="2"/>
      <c r="AL279" s="2"/>
      <c r="AM279" s="2"/>
      <c r="AN279" s="2"/>
      <c r="AO279" s="2"/>
      <c r="AP279" s="2"/>
      <c r="AQ279" s="2"/>
      <c r="AR279" s="2"/>
      <c r="AS279" s="2"/>
      <c r="AT279" s="2"/>
    </row>
    <row r="280" spans="36:46" ht="14.25" customHeight="1">
      <c r="AJ280" s="2"/>
      <c r="AK280" s="2"/>
      <c r="AL280" s="2"/>
      <c r="AM280" s="2"/>
      <c r="AN280" s="2"/>
      <c r="AO280" s="2"/>
      <c r="AP280" s="2"/>
      <c r="AQ280" s="2"/>
      <c r="AR280" s="2"/>
      <c r="AS280" s="2"/>
      <c r="AT280" s="2"/>
    </row>
    <row r="281" spans="36:46" ht="14.25" customHeight="1">
      <c r="AJ281" s="2"/>
      <c r="AK281" s="2"/>
      <c r="AL281" s="2"/>
      <c r="AM281" s="2"/>
      <c r="AN281" s="2"/>
      <c r="AO281" s="2"/>
      <c r="AP281" s="2"/>
      <c r="AQ281" s="2"/>
      <c r="AR281" s="2"/>
      <c r="AS281" s="2"/>
      <c r="AT281" s="2"/>
    </row>
    <row r="282" spans="36:46" ht="14.25" customHeight="1">
      <c r="AJ282" s="2"/>
      <c r="AK282" s="2"/>
      <c r="AL282" s="2"/>
      <c r="AM282" s="2"/>
      <c r="AN282" s="2"/>
      <c r="AO282" s="2"/>
      <c r="AP282" s="2"/>
      <c r="AQ282" s="2"/>
      <c r="AR282" s="2"/>
      <c r="AS282" s="2"/>
      <c r="AT282" s="2"/>
    </row>
    <row r="283" spans="36:46" ht="14.25" customHeight="1">
      <c r="AJ283" s="2"/>
      <c r="AK283" s="2"/>
      <c r="AL283" s="2"/>
      <c r="AM283" s="2"/>
      <c r="AN283" s="2"/>
      <c r="AO283" s="2"/>
      <c r="AP283" s="2"/>
      <c r="AQ283" s="2"/>
      <c r="AR283" s="2"/>
      <c r="AS283" s="2"/>
      <c r="AT283" s="2"/>
    </row>
    <row r="284" spans="36:46" ht="14.25" customHeight="1">
      <c r="AJ284" s="2"/>
      <c r="AK284" s="2"/>
      <c r="AL284" s="2"/>
      <c r="AM284" s="2"/>
      <c r="AN284" s="2"/>
      <c r="AO284" s="2"/>
      <c r="AP284" s="2"/>
      <c r="AQ284" s="2"/>
      <c r="AR284" s="2"/>
      <c r="AS284" s="2"/>
      <c r="AT284" s="2"/>
    </row>
    <row r="285" spans="36:46" ht="14.25" customHeight="1">
      <c r="AJ285" s="2"/>
      <c r="AK285" s="2"/>
      <c r="AL285" s="2"/>
      <c r="AM285" s="2"/>
      <c r="AN285" s="2"/>
      <c r="AO285" s="2"/>
      <c r="AP285" s="2"/>
      <c r="AQ285" s="2"/>
      <c r="AR285" s="2"/>
      <c r="AS285" s="2"/>
      <c r="AT285" s="2"/>
    </row>
    <row r="286" spans="36:46" ht="14.25" customHeight="1">
      <c r="AJ286" s="2"/>
      <c r="AK286" s="2"/>
      <c r="AL286" s="2"/>
      <c r="AM286" s="2"/>
      <c r="AN286" s="2"/>
      <c r="AO286" s="2"/>
      <c r="AP286" s="2"/>
      <c r="AQ286" s="2"/>
      <c r="AR286" s="2"/>
      <c r="AS286" s="2"/>
      <c r="AT286" s="2"/>
    </row>
    <row r="287" spans="36:46" ht="14.25" customHeight="1">
      <c r="AJ287" s="2"/>
      <c r="AK287" s="2"/>
      <c r="AL287" s="2"/>
      <c r="AM287" s="2"/>
      <c r="AN287" s="2"/>
      <c r="AO287" s="2"/>
      <c r="AP287" s="2"/>
      <c r="AQ287" s="2"/>
      <c r="AR287" s="2"/>
      <c r="AS287" s="2"/>
      <c r="AT287" s="2"/>
    </row>
    <row r="288" spans="36:46" ht="14.25" customHeight="1">
      <c r="AJ288" s="2"/>
      <c r="AK288" s="2"/>
      <c r="AL288" s="2"/>
      <c r="AM288" s="2"/>
      <c r="AN288" s="2"/>
      <c r="AO288" s="2"/>
      <c r="AP288" s="2"/>
      <c r="AQ288" s="2"/>
      <c r="AR288" s="2"/>
      <c r="AS288" s="2"/>
      <c r="AT288" s="2"/>
    </row>
    <row r="289" spans="36:46" ht="14.25" customHeight="1">
      <c r="AJ289" s="2"/>
      <c r="AK289" s="2"/>
      <c r="AL289" s="2"/>
      <c r="AM289" s="2"/>
      <c r="AN289" s="2"/>
      <c r="AO289" s="2"/>
      <c r="AP289" s="2"/>
      <c r="AQ289" s="2"/>
      <c r="AR289" s="2"/>
      <c r="AS289" s="2"/>
      <c r="AT289" s="2"/>
    </row>
    <row r="290" spans="36:46" ht="14.25" customHeight="1">
      <c r="AJ290" s="2"/>
      <c r="AK290" s="2"/>
      <c r="AL290" s="2"/>
      <c r="AM290" s="2"/>
      <c r="AN290" s="2"/>
      <c r="AO290" s="2"/>
      <c r="AP290" s="2"/>
      <c r="AQ290" s="2"/>
      <c r="AR290" s="2"/>
      <c r="AS290" s="2"/>
      <c r="AT290" s="2"/>
    </row>
    <row r="291" spans="36:46" ht="14.25" customHeight="1">
      <c r="AJ291" s="2"/>
      <c r="AK291" s="2"/>
      <c r="AL291" s="2"/>
      <c r="AM291" s="2"/>
      <c r="AN291" s="2"/>
      <c r="AO291" s="2"/>
      <c r="AP291" s="2"/>
      <c r="AQ291" s="2"/>
      <c r="AR291" s="2"/>
      <c r="AS291" s="2"/>
      <c r="AT291" s="2"/>
    </row>
    <row r="292" spans="36:46" ht="14.25" customHeight="1">
      <c r="AJ292" s="2"/>
      <c r="AK292" s="2"/>
      <c r="AL292" s="2"/>
      <c r="AM292" s="2"/>
      <c r="AN292" s="2"/>
      <c r="AO292" s="2"/>
      <c r="AP292" s="2"/>
      <c r="AQ292" s="2"/>
      <c r="AR292" s="2"/>
      <c r="AS292" s="2"/>
      <c r="AT292" s="2"/>
    </row>
    <row r="293" spans="36:46" ht="14.25" customHeight="1">
      <c r="AJ293" s="2"/>
      <c r="AK293" s="2"/>
      <c r="AL293" s="2"/>
      <c r="AM293" s="2"/>
      <c r="AN293" s="2"/>
      <c r="AO293" s="2"/>
      <c r="AP293" s="2"/>
      <c r="AQ293" s="2"/>
      <c r="AR293" s="2"/>
      <c r="AS293" s="2"/>
      <c r="AT293" s="2"/>
    </row>
    <row r="294" spans="36:46" ht="14.25" customHeight="1">
      <c r="AJ294" s="2"/>
      <c r="AK294" s="2"/>
      <c r="AL294" s="2"/>
      <c r="AM294" s="2"/>
      <c r="AN294" s="2"/>
      <c r="AO294" s="2"/>
      <c r="AP294" s="2"/>
      <c r="AQ294" s="2"/>
      <c r="AR294" s="2"/>
      <c r="AS294" s="2"/>
      <c r="AT294" s="2"/>
    </row>
    <row r="295" spans="36:46" ht="14.25" customHeight="1">
      <c r="AJ295" s="2"/>
      <c r="AK295" s="2"/>
      <c r="AL295" s="2"/>
      <c r="AM295" s="2"/>
      <c r="AN295" s="2"/>
      <c r="AO295" s="2"/>
      <c r="AP295" s="2"/>
      <c r="AQ295" s="2"/>
      <c r="AR295" s="2"/>
      <c r="AS295" s="2"/>
      <c r="AT295" s="2"/>
    </row>
    <row r="296" spans="36:46" ht="14.25" customHeight="1">
      <c r="AJ296" s="2"/>
      <c r="AK296" s="2"/>
      <c r="AL296" s="2"/>
      <c r="AM296" s="2"/>
      <c r="AN296" s="2"/>
      <c r="AO296" s="2"/>
      <c r="AP296" s="2"/>
      <c r="AQ296" s="2"/>
      <c r="AR296" s="2"/>
      <c r="AS296" s="2"/>
      <c r="AT296" s="2"/>
    </row>
    <row r="297" spans="36:46" ht="14.25" customHeight="1">
      <c r="AJ297" s="2"/>
      <c r="AK297" s="2"/>
      <c r="AL297" s="2"/>
      <c r="AM297" s="2"/>
      <c r="AN297" s="2"/>
      <c r="AO297" s="2"/>
      <c r="AP297" s="2"/>
      <c r="AQ297" s="2"/>
      <c r="AR297" s="2"/>
      <c r="AS297" s="2"/>
      <c r="AT297" s="2"/>
    </row>
    <row r="298" spans="36:46" ht="14.25" customHeight="1">
      <c r="AJ298" s="2"/>
      <c r="AK298" s="2"/>
      <c r="AL298" s="2"/>
      <c r="AM298" s="2"/>
      <c r="AN298" s="2"/>
      <c r="AO298" s="2"/>
      <c r="AP298" s="2"/>
      <c r="AQ298" s="2"/>
      <c r="AR298" s="2"/>
      <c r="AS298" s="2"/>
      <c r="AT298" s="2"/>
    </row>
    <row r="299" spans="36:46" ht="14.25" customHeight="1">
      <c r="AJ299" s="2"/>
      <c r="AK299" s="2"/>
      <c r="AL299" s="2"/>
      <c r="AM299" s="2"/>
      <c r="AN299" s="2"/>
      <c r="AO299" s="2"/>
      <c r="AP299" s="2"/>
      <c r="AQ299" s="2"/>
      <c r="AR299" s="2"/>
      <c r="AS299" s="2"/>
      <c r="AT299" s="2"/>
    </row>
    <row r="300" spans="36:46" ht="14.25" customHeight="1">
      <c r="AJ300" s="2"/>
      <c r="AK300" s="2"/>
      <c r="AL300" s="2"/>
      <c r="AM300" s="2"/>
      <c r="AN300" s="2"/>
      <c r="AO300" s="2"/>
      <c r="AP300" s="2"/>
      <c r="AQ300" s="2"/>
      <c r="AR300" s="2"/>
      <c r="AS300" s="2"/>
      <c r="AT300" s="2"/>
    </row>
    <row r="301" spans="36:46" ht="14.25" customHeight="1">
      <c r="AJ301" s="2"/>
      <c r="AK301" s="2"/>
      <c r="AL301" s="2"/>
      <c r="AM301" s="2"/>
      <c r="AN301" s="2"/>
      <c r="AO301" s="2"/>
      <c r="AP301" s="2"/>
      <c r="AQ301" s="2"/>
      <c r="AR301" s="2"/>
      <c r="AS301" s="2"/>
      <c r="AT301" s="2"/>
    </row>
    <row r="302" spans="36:46" ht="14.25" customHeight="1">
      <c r="AJ302" s="2"/>
      <c r="AK302" s="2"/>
      <c r="AL302" s="2"/>
      <c r="AM302" s="2"/>
      <c r="AN302" s="2"/>
      <c r="AO302" s="2"/>
      <c r="AP302" s="2"/>
      <c r="AQ302" s="2"/>
      <c r="AR302" s="2"/>
      <c r="AS302" s="2"/>
      <c r="AT302" s="2"/>
    </row>
    <row r="303" spans="36:46" ht="14.25" customHeight="1">
      <c r="AJ303" s="2"/>
      <c r="AK303" s="2"/>
      <c r="AL303" s="2"/>
      <c r="AM303" s="2"/>
      <c r="AN303" s="2"/>
      <c r="AO303" s="2"/>
      <c r="AP303" s="2"/>
      <c r="AQ303" s="2"/>
      <c r="AR303" s="2"/>
      <c r="AS303" s="2"/>
      <c r="AT303" s="2"/>
    </row>
    <row r="304" spans="36:46" ht="14.25" customHeight="1">
      <c r="AJ304" s="2"/>
      <c r="AK304" s="2"/>
      <c r="AL304" s="2"/>
      <c r="AM304" s="2"/>
      <c r="AN304" s="2"/>
      <c r="AO304" s="2"/>
      <c r="AP304" s="2"/>
      <c r="AQ304" s="2"/>
      <c r="AR304" s="2"/>
      <c r="AS304" s="2"/>
      <c r="AT304" s="2"/>
    </row>
    <row r="305" spans="36:46" ht="14.25" customHeight="1">
      <c r="AJ305" s="2"/>
      <c r="AK305" s="2"/>
      <c r="AL305" s="2"/>
      <c r="AM305" s="2"/>
      <c r="AN305" s="2"/>
      <c r="AO305" s="2"/>
      <c r="AP305" s="2"/>
      <c r="AQ305" s="2"/>
      <c r="AR305" s="2"/>
      <c r="AS305" s="2"/>
      <c r="AT305" s="2"/>
    </row>
    <row r="306" spans="36:46" ht="14.25" customHeight="1">
      <c r="AJ306" s="2"/>
      <c r="AK306" s="2"/>
      <c r="AL306" s="2"/>
      <c r="AM306" s="2"/>
      <c r="AN306" s="2"/>
      <c r="AO306" s="2"/>
      <c r="AP306" s="2"/>
      <c r="AQ306" s="2"/>
      <c r="AR306" s="2"/>
      <c r="AS306" s="2"/>
      <c r="AT306" s="2"/>
    </row>
    <row r="307" spans="36:46" ht="14.25" customHeight="1">
      <c r="AJ307" s="2"/>
      <c r="AK307" s="2"/>
      <c r="AL307" s="2"/>
      <c r="AM307" s="2"/>
      <c r="AN307" s="2"/>
      <c r="AO307" s="2"/>
      <c r="AP307" s="2"/>
      <c r="AQ307" s="2"/>
      <c r="AR307" s="2"/>
      <c r="AS307" s="2"/>
      <c r="AT307" s="2"/>
    </row>
    <row r="308" spans="36:46" ht="14.25" customHeight="1">
      <c r="AJ308" s="2"/>
      <c r="AK308" s="2"/>
      <c r="AL308" s="2"/>
      <c r="AM308" s="2"/>
      <c r="AN308" s="2"/>
      <c r="AO308" s="2"/>
      <c r="AP308" s="2"/>
      <c r="AQ308" s="2"/>
      <c r="AR308" s="2"/>
      <c r="AS308" s="2"/>
      <c r="AT308" s="2"/>
    </row>
    <row r="309" spans="36:46" ht="14.25" customHeight="1">
      <c r="AJ309" s="2"/>
      <c r="AK309" s="2"/>
      <c r="AL309" s="2"/>
      <c r="AM309" s="2"/>
      <c r="AN309" s="2"/>
      <c r="AO309" s="2"/>
      <c r="AP309" s="2"/>
      <c r="AQ309" s="2"/>
      <c r="AR309" s="2"/>
      <c r="AS309" s="2"/>
      <c r="AT309" s="2"/>
    </row>
    <row r="310" spans="36:46" ht="14.25" customHeight="1">
      <c r="AJ310" s="2"/>
      <c r="AK310" s="2"/>
      <c r="AL310" s="2"/>
      <c r="AM310" s="2"/>
      <c r="AN310" s="2"/>
      <c r="AO310" s="2"/>
      <c r="AP310" s="2"/>
      <c r="AQ310" s="2"/>
      <c r="AR310" s="2"/>
      <c r="AS310" s="2"/>
      <c r="AT310" s="2"/>
    </row>
    <row r="311" spans="36:46" ht="14.25" customHeight="1">
      <c r="AJ311" s="2"/>
      <c r="AK311" s="2"/>
      <c r="AL311" s="2"/>
      <c r="AM311" s="2"/>
      <c r="AN311" s="2"/>
      <c r="AO311" s="2"/>
      <c r="AP311" s="2"/>
      <c r="AQ311" s="2"/>
      <c r="AR311" s="2"/>
      <c r="AS311" s="2"/>
      <c r="AT311" s="2"/>
    </row>
    <row r="312" spans="36:46" ht="14.25" customHeight="1">
      <c r="AJ312" s="2"/>
      <c r="AK312" s="2"/>
      <c r="AL312" s="2"/>
      <c r="AM312" s="2"/>
      <c r="AN312" s="2"/>
      <c r="AO312" s="2"/>
      <c r="AP312" s="2"/>
      <c r="AQ312" s="2"/>
      <c r="AR312" s="2"/>
      <c r="AS312" s="2"/>
      <c r="AT312" s="2"/>
    </row>
    <row r="313" spans="36:46" ht="14.25" customHeight="1">
      <c r="AJ313" s="2"/>
      <c r="AK313" s="2"/>
      <c r="AL313" s="2"/>
      <c r="AM313" s="2"/>
      <c r="AN313" s="2"/>
      <c r="AO313" s="2"/>
      <c r="AP313" s="2"/>
      <c r="AQ313" s="2"/>
      <c r="AR313" s="2"/>
      <c r="AS313" s="2"/>
      <c r="AT313" s="2"/>
    </row>
    <row r="314" spans="36:46" ht="14.25" customHeight="1">
      <c r="AJ314" s="2"/>
      <c r="AK314" s="2"/>
      <c r="AL314" s="2"/>
      <c r="AM314" s="2"/>
      <c r="AN314" s="2"/>
      <c r="AO314" s="2"/>
      <c r="AP314" s="2"/>
      <c r="AQ314" s="2"/>
      <c r="AR314" s="2"/>
      <c r="AS314" s="2"/>
      <c r="AT314" s="2"/>
    </row>
    <row r="315" spans="36:46" ht="14.25" customHeight="1">
      <c r="AJ315" s="2"/>
      <c r="AK315" s="2"/>
      <c r="AL315" s="2"/>
      <c r="AM315" s="2"/>
      <c r="AN315" s="2"/>
      <c r="AO315" s="2"/>
      <c r="AP315" s="2"/>
      <c r="AQ315" s="2"/>
      <c r="AR315" s="2"/>
      <c r="AS315" s="2"/>
      <c r="AT315" s="2"/>
    </row>
    <row r="316" spans="36:46" ht="14.25" customHeight="1">
      <c r="AJ316" s="2"/>
      <c r="AK316" s="2"/>
      <c r="AL316" s="2"/>
      <c r="AM316" s="2"/>
      <c r="AN316" s="2"/>
      <c r="AO316" s="2"/>
      <c r="AP316" s="2"/>
      <c r="AQ316" s="2"/>
      <c r="AR316" s="2"/>
      <c r="AS316" s="2"/>
      <c r="AT316" s="2"/>
    </row>
    <row r="317" spans="36:46" ht="14.25" customHeight="1">
      <c r="AJ317" s="2"/>
      <c r="AK317" s="2"/>
      <c r="AL317" s="2"/>
      <c r="AM317" s="2"/>
      <c r="AN317" s="2"/>
      <c r="AO317" s="2"/>
      <c r="AP317" s="2"/>
      <c r="AQ317" s="2"/>
      <c r="AR317" s="2"/>
      <c r="AS317" s="2"/>
      <c r="AT317" s="2"/>
    </row>
    <row r="318" spans="36:46" ht="14.25" customHeight="1">
      <c r="AJ318" s="2"/>
      <c r="AK318" s="2"/>
      <c r="AL318" s="2"/>
      <c r="AM318" s="2"/>
      <c r="AN318" s="2"/>
      <c r="AO318" s="2"/>
      <c r="AP318" s="2"/>
      <c r="AQ318" s="2"/>
      <c r="AR318" s="2"/>
      <c r="AS318" s="2"/>
      <c r="AT318" s="2"/>
    </row>
    <row r="319" spans="36:46" ht="14.25" customHeight="1">
      <c r="AJ319" s="2"/>
      <c r="AK319" s="2"/>
      <c r="AL319" s="2"/>
      <c r="AM319" s="2"/>
      <c r="AN319" s="2"/>
      <c r="AO319" s="2"/>
      <c r="AP319" s="2"/>
      <c r="AQ319" s="2"/>
      <c r="AR319" s="2"/>
      <c r="AS319" s="2"/>
      <c r="AT319" s="2"/>
    </row>
    <row r="320" spans="36:46" ht="14.25" customHeight="1">
      <c r="AJ320" s="2"/>
      <c r="AK320" s="2"/>
      <c r="AL320" s="2"/>
      <c r="AM320" s="2"/>
      <c r="AN320" s="2"/>
      <c r="AO320" s="2"/>
      <c r="AP320" s="2"/>
      <c r="AQ320" s="2"/>
      <c r="AR320" s="2"/>
      <c r="AS320" s="2"/>
      <c r="AT320" s="2"/>
    </row>
    <row r="321" spans="36:46" ht="14.25" customHeight="1">
      <c r="AJ321" s="2"/>
      <c r="AK321" s="2"/>
      <c r="AL321" s="2"/>
      <c r="AM321" s="2"/>
      <c r="AN321" s="2"/>
      <c r="AO321" s="2"/>
      <c r="AP321" s="2"/>
      <c r="AQ321" s="2"/>
      <c r="AR321" s="2"/>
      <c r="AS321" s="2"/>
      <c r="AT321" s="2"/>
    </row>
    <row r="322" spans="36:46" ht="14.25" customHeight="1">
      <c r="AJ322" s="2"/>
      <c r="AK322" s="2"/>
      <c r="AL322" s="2"/>
      <c r="AM322" s="2"/>
      <c r="AN322" s="2"/>
      <c r="AO322" s="2"/>
      <c r="AP322" s="2"/>
      <c r="AQ322" s="2"/>
      <c r="AR322" s="2"/>
      <c r="AS322" s="2"/>
      <c r="AT322" s="2"/>
    </row>
    <row r="323" spans="36:46" ht="14.25" customHeight="1">
      <c r="AJ323" s="2"/>
      <c r="AK323" s="2"/>
      <c r="AL323" s="2"/>
      <c r="AM323" s="2"/>
      <c r="AN323" s="2"/>
      <c r="AO323" s="2"/>
      <c r="AP323" s="2"/>
      <c r="AQ323" s="2"/>
      <c r="AR323" s="2"/>
      <c r="AS323" s="2"/>
      <c r="AT323" s="2"/>
    </row>
    <row r="324" spans="36:46" ht="14.25" customHeight="1">
      <c r="AJ324" s="2"/>
      <c r="AK324" s="2"/>
      <c r="AL324" s="2"/>
      <c r="AM324" s="2"/>
      <c r="AN324" s="2"/>
      <c r="AO324" s="2"/>
      <c r="AP324" s="2"/>
      <c r="AQ324" s="2"/>
      <c r="AR324" s="2"/>
      <c r="AS324" s="2"/>
      <c r="AT324" s="2"/>
    </row>
    <row r="325" spans="36:46" ht="14.25" customHeight="1">
      <c r="AJ325" s="2"/>
      <c r="AK325" s="2"/>
      <c r="AL325" s="2"/>
      <c r="AM325" s="2"/>
      <c r="AN325" s="2"/>
      <c r="AO325" s="2"/>
      <c r="AP325" s="2"/>
      <c r="AQ325" s="2"/>
      <c r="AR325" s="2"/>
      <c r="AS325" s="2"/>
      <c r="AT325" s="2"/>
    </row>
    <row r="326" spans="36:46" ht="14.25" customHeight="1">
      <c r="AJ326" s="2"/>
      <c r="AK326" s="2"/>
      <c r="AL326" s="2"/>
      <c r="AM326" s="2"/>
      <c r="AN326" s="2"/>
      <c r="AO326" s="2"/>
      <c r="AP326" s="2"/>
      <c r="AQ326" s="2"/>
      <c r="AR326" s="2"/>
      <c r="AS326" s="2"/>
      <c r="AT326" s="2"/>
    </row>
    <row r="327" spans="36:46" ht="14.25" customHeight="1">
      <c r="AJ327" s="2"/>
      <c r="AK327" s="2"/>
      <c r="AL327" s="2"/>
      <c r="AM327" s="2"/>
      <c r="AN327" s="2"/>
      <c r="AO327" s="2"/>
      <c r="AP327" s="2"/>
      <c r="AQ327" s="2"/>
      <c r="AR327" s="2"/>
      <c r="AS327" s="2"/>
      <c r="AT327" s="2"/>
    </row>
    <row r="328" spans="36:46" ht="14.25" customHeight="1">
      <c r="AJ328" s="2"/>
      <c r="AK328" s="2"/>
      <c r="AL328" s="2"/>
      <c r="AM328" s="2"/>
      <c r="AN328" s="2"/>
      <c r="AO328" s="2"/>
      <c r="AP328" s="2"/>
      <c r="AQ328" s="2"/>
      <c r="AR328" s="2"/>
      <c r="AS328" s="2"/>
      <c r="AT328" s="2"/>
    </row>
    <row r="329" spans="36:46" ht="14.25" customHeight="1">
      <c r="AJ329" s="2"/>
      <c r="AK329" s="2"/>
      <c r="AL329" s="2"/>
      <c r="AM329" s="2"/>
      <c r="AN329" s="2"/>
      <c r="AO329" s="2"/>
      <c r="AP329" s="2"/>
      <c r="AQ329" s="2"/>
      <c r="AR329" s="2"/>
      <c r="AS329" s="2"/>
      <c r="AT329" s="2"/>
    </row>
    <row r="330" spans="36:46" ht="14.25" customHeight="1">
      <c r="AJ330" s="2"/>
      <c r="AK330" s="2"/>
      <c r="AL330" s="2"/>
      <c r="AM330" s="2"/>
      <c r="AN330" s="2"/>
      <c r="AO330" s="2"/>
      <c r="AP330" s="2"/>
      <c r="AQ330" s="2"/>
      <c r="AR330" s="2"/>
      <c r="AS330" s="2"/>
      <c r="AT330" s="2"/>
    </row>
    <row r="331" spans="36:46" ht="14.25" customHeight="1">
      <c r="AJ331" s="2"/>
      <c r="AK331" s="2"/>
      <c r="AL331" s="2"/>
      <c r="AM331" s="2"/>
      <c r="AN331" s="2"/>
      <c r="AO331" s="2"/>
      <c r="AP331" s="2"/>
      <c r="AQ331" s="2"/>
      <c r="AR331" s="2"/>
      <c r="AS331" s="2"/>
      <c r="AT331" s="2"/>
    </row>
    <row r="332" spans="36:46" ht="14.25" customHeight="1">
      <c r="AJ332" s="2"/>
      <c r="AK332" s="2"/>
      <c r="AL332" s="2"/>
      <c r="AM332" s="2"/>
      <c r="AN332" s="2"/>
      <c r="AO332" s="2"/>
      <c r="AP332" s="2"/>
      <c r="AQ332" s="2"/>
      <c r="AR332" s="2"/>
      <c r="AS332" s="2"/>
      <c r="AT332" s="2"/>
    </row>
    <row r="333" spans="36:46" ht="14.25" customHeight="1">
      <c r="AJ333" s="2"/>
      <c r="AK333" s="2"/>
      <c r="AL333" s="2"/>
      <c r="AM333" s="2"/>
      <c r="AN333" s="2"/>
      <c r="AO333" s="2"/>
      <c r="AP333" s="2"/>
      <c r="AQ333" s="2"/>
      <c r="AR333" s="2"/>
      <c r="AS333" s="2"/>
      <c r="AT333" s="2"/>
    </row>
    <row r="334" spans="36:46" ht="14.25" customHeight="1">
      <c r="AJ334" s="2"/>
      <c r="AK334" s="2"/>
      <c r="AL334" s="2"/>
      <c r="AM334" s="2"/>
      <c r="AN334" s="2"/>
      <c r="AO334" s="2"/>
      <c r="AP334" s="2"/>
      <c r="AQ334" s="2"/>
      <c r="AR334" s="2"/>
      <c r="AS334" s="2"/>
      <c r="AT334" s="2"/>
    </row>
    <row r="335" spans="36:46" ht="14.25" customHeight="1">
      <c r="AJ335" s="2"/>
      <c r="AK335" s="2"/>
      <c r="AL335" s="2"/>
      <c r="AM335" s="2"/>
      <c r="AN335" s="2"/>
      <c r="AO335" s="2"/>
      <c r="AP335" s="2"/>
      <c r="AQ335" s="2"/>
      <c r="AR335" s="2"/>
      <c r="AS335" s="2"/>
      <c r="AT335" s="2"/>
    </row>
    <row r="336" spans="36:46" ht="14.25" customHeight="1">
      <c r="AJ336" s="2"/>
      <c r="AK336" s="2"/>
      <c r="AL336" s="2"/>
      <c r="AM336" s="2"/>
      <c r="AN336" s="2"/>
      <c r="AO336" s="2"/>
      <c r="AP336" s="2"/>
      <c r="AQ336" s="2"/>
      <c r="AR336" s="2"/>
      <c r="AS336" s="2"/>
      <c r="AT336" s="2"/>
    </row>
    <row r="337" spans="36:46" ht="14.25" customHeight="1">
      <c r="AJ337" s="2"/>
      <c r="AK337" s="2"/>
      <c r="AL337" s="2"/>
      <c r="AM337" s="2"/>
      <c r="AN337" s="2"/>
      <c r="AO337" s="2"/>
      <c r="AP337" s="2"/>
      <c r="AQ337" s="2"/>
      <c r="AR337" s="2"/>
      <c r="AS337" s="2"/>
      <c r="AT337" s="2"/>
    </row>
    <row r="338" spans="36:46" ht="14.25" customHeight="1">
      <c r="AJ338" s="2"/>
      <c r="AK338" s="2"/>
      <c r="AL338" s="2"/>
      <c r="AM338" s="2"/>
      <c r="AN338" s="2"/>
      <c r="AO338" s="2"/>
      <c r="AP338" s="2"/>
      <c r="AQ338" s="2"/>
      <c r="AR338" s="2"/>
      <c r="AS338" s="2"/>
      <c r="AT338" s="2"/>
    </row>
    <row r="339" spans="36:46" ht="14.25" customHeight="1">
      <c r="AJ339" s="2"/>
      <c r="AK339" s="2"/>
      <c r="AL339" s="2"/>
      <c r="AM339" s="2"/>
      <c r="AN339" s="2"/>
      <c r="AO339" s="2"/>
      <c r="AP339" s="2"/>
      <c r="AQ339" s="2"/>
      <c r="AR339" s="2"/>
      <c r="AS339" s="2"/>
      <c r="AT339" s="2"/>
    </row>
    <row r="340" spans="36:46" ht="14.25" customHeight="1">
      <c r="AJ340" s="2"/>
      <c r="AK340" s="2"/>
      <c r="AL340" s="2"/>
      <c r="AM340" s="2"/>
      <c r="AN340" s="2"/>
      <c r="AO340" s="2"/>
      <c r="AP340" s="2"/>
      <c r="AQ340" s="2"/>
      <c r="AR340" s="2"/>
      <c r="AS340" s="2"/>
      <c r="AT340" s="2"/>
    </row>
    <row r="341" spans="36:46" ht="14.25" customHeight="1">
      <c r="AJ341" s="2"/>
      <c r="AK341" s="2"/>
      <c r="AL341" s="2"/>
      <c r="AM341" s="2"/>
      <c r="AN341" s="2"/>
      <c r="AO341" s="2"/>
      <c r="AP341" s="2"/>
      <c r="AQ341" s="2"/>
      <c r="AR341" s="2"/>
      <c r="AS341" s="2"/>
      <c r="AT341" s="2"/>
    </row>
    <row r="342" spans="36:46" ht="14.25" customHeight="1">
      <c r="AJ342" s="2"/>
      <c r="AK342" s="2"/>
      <c r="AL342" s="2"/>
      <c r="AM342" s="2"/>
      <c r="AN342" s="2"/>
      <c r="AO342" s="2"/>
      <c r="AP342" s="2"/>
      <c r="AQ342" s="2"/>
      <c r="AR342" s="2"/>
      <c r="AS342" s="2"/>
      <c r="AT342" s="2"/>
    </row>
    <row r="343" spans="36:46" ht="14.25" customHeight="1">
      <c r="AJ343" s="2"/>
      <c r="AK343" s="2"/>
      <c r="AL343" s="2"/>
      <c r="AM343" s="2"/>
      <c r="AN343" s="2"/>
      <c r="AO343" s="2"/>
      <c r="AP343" s="2"/>
      <c r="AQ343" s="2"/>
      <c r="AR343" s="2"/>
      <c r="AS343" s="2"/>
      <c r="AT343" s="2"/>
    </row>
    <row r="344" spans="36:46" ht="14.25" customHeight="1">
      <c r="AJ344" s="2"/>
      <c r="AK344" s="2"/>
      <c r="AL344" s="2"/>
      <c r="AM344" s="2"/>
      <c r="AN344" s="2"/>
      <c r="AO344" s="2"/>
      <c r="AP344" s="2"/>
      <c r="AQ344" s="2"/>
      <c r="AR344" s="2"/>
      <c r="AS344" s="2"/>
      <c r="AT344" s="2"/>
    </row>
    <row r="345" spans="36:46" ht="14.25" customHeight="1">
      <c r="AJ345" s="2"/>
      <c r="AK345" s="2"/>
      <c r="AL345" s="2"/>
      <c r="AM345" s="2"/>
      <c r="AN345" s="2"/>
      <c r="AO345" s="2"/>
      <c r="AP345" s="2"/>
      <c r="AQ345" s="2"/>
      <c r="AR345" s="2"/>
      <c r="AS345" s="2"/>
      <c r="AT345" s="2"/>
    </row>
    <row r="346" spans="36:46" ht="14.25" customHeight="1">
      <c r="AJ346" s="2"/>
      <c r="AK346" s="2"/>
      <c r="AL346" s="2"/>
      <c r="AM346" s="2"/>
      <c r="AN346" s="2"/>
      <c r="AO346" s="2"/>
      <c r="AP346" s="2"/>
      <c r="AQ346" s="2"/>
      <c r="AR346" s="2"/>
      <c r="AS346" s="2"/>
      <c r="AT346" s="2"/>
    </row>
    <row r="347" spans="36:46" ht="14.25" customHeight="1">
      <c r="AJ347" s="2"/>
      <c r="AK347" s="2"/>
      <c r="AL347" s="2"/>
      <c r="AM347" s="2"/>
      <c r="AN347" s="2"/>
      <c r="AO347" s="2"/>
      <c r="AP347" s="2"/>
      <c r="AQ347" s="2"/>
      <c r="AR347" s="2"/>
      <c r="AS347" s="2"/>
      <c r="AT347" s="2"/>
    </row>
    <row r="348" spans="36:46" ht="14.25" customHeight="1">
      <c r="AJ348" s="2"/>
      <c r="AK348" s="2"/>
      <c r="AL348" s="2"/>
      <c r="AM348" s="2"/>
      <c r="AN348" s="2"/>
      <c r="AO348" s="2"/>
      <c r="AP348" s="2"/>
      <c r="AQ348" s="2"/>
      <c r="AR348" s="2"/>
      <c r="AS348" s="2"/>
      <c r="AT348" s="2"/>
    </row>
    <row r="349" spans="36:46" ht="14.25" customHeight="1">
      <c r="AJ349" s="2"/>
      <c r="AK349" s="2"/>
      <c r="AL349" s="2"/>
      <c r="AM349" s="2"/>
      <c r="AN349" s="2"/>
      <c r="AO349" s="2"/>
      <c r="AP349" s="2"/>
      <c r="AQ349" s="2"/>
      <c r="AR349" s="2"/>
      <c r="AS349" s="2"/>
      <c r="AT349" s="2"/>
    </row>
    <row r="350" spans="36:46" ht="14.25" customHeight="1">
      <c r="AJ350" s="2"/>
      <c r="AK350" s="2"/>
      <c r="AL350" s="2"/>
      <c r="AM350" s="2"/>
      <c r="AN350" s="2"/>
      <c r="AO350" s="2"/>
      <c r="AP350" s="2"/>
      <c r="AQ350" s="2"/>
      <c r="AR350" s="2"/>
      <c r="AS350" s="2"/>
      <c r="AT350" s="2"/>
    </row>
    <row r="351" spans="36:46" ht="14.25" customHeight="1">
      <c r="AJ351" s="2"/>
      <c r="AK351" s="2"/>
      <c r="AL351" s="2"/>
      <c r="AM351" s="2"/>
      <c r="AN351" s="2"/>
      <c r="AO351" s="2"/>
      <c r="AP351" s="2"/>
      <c r="AQ351" s="2"/>
      <c r="AR351" s="2"/>
      <c r="AS351" s="2"/>
      <c r="AT351" s="2"/>
    </row>
    <row r="352" spans="36:46" ht="14.25" customHeight="1">
      <c r="AJ352" s="2"/>
      <c r="AK352" s="2"/>
      <c r="AL352" s="2"/>
      <c r="AM352" s="2"/>
      <c r="AN352" s="2"/>
      <c r="AO352" s="2"/>
      <c r="AP352" s="2"/>
      <c r="AQ352" s="2"/>
      <c r="AR352" s="2"/>
      <c r="AS352" s="2"/>
      <c r="AT352" s="2"/>
    </row>
    <row r="353" spans="36:46" ht="14.25" customHeight="1">
      <c r="AJ353" s="2"/>
      <c r="AK353" s="2"/>
      <c r="AL353" s="2"/>
      <c r="AM353" s="2"/>
      <c r="AN353" s="2"/>
      <c r="AO353" s="2"/>
      <c r="AP353" s="2"/>
      <c r="AQ353" s="2"/>
      <c r="AR353" s="2"/>
      <c r="AS353" s="2"/>
      <c r="AT353" s="2"/>
    </row>
    <row r="354" spans="36:46" ht="14.25" customHeight="1">
      <c r="AJ354" s="2"/>
      <c r="AK354" s="2"/>
      <c r="AL354" s="2"/>
      <c r="AM354" s="2"/>
      <c r="AN354" s="2"/>
      <c r="AO354" s="2"/>
      <c r="AP354" s="2"/>
      <c r="AQ354" s="2"/>
      <c r="AR354" s="2"/>
      <c r="AS354" s="2"/>
      <c r="AT354" s="2"/>
    </row>
    <row r="355" spans="36:46" ht="14.25" customHeight="1">
      <c r="AJ355" s="2"/>
      <c r="AK355" s="2"/>
      <c r="AL355" s="2"/>
      <c r="AM355" s="2"/>
      <c r="AN355" s="2"/>
      <c r="AO355" s="2"/>
      <c r="AP355" s="2"/>
      <c r="AQ355" s="2"/>
      <c r="AR355" s="2"/>
      <c r="AS355" s="2"/>
      <c r="AT355" s="2"/>
    </row>
    <row r="356" spans="36:46" ht="14.25" customHeight="1">
      <c r="AJ356" s="2"/>
      <c r="AK356" s="2"/>
      <c r="AL356" s="2"/>
      <c r="AM356" s="2"/>
      <c r="AN356" s="2"/>
      <c r="AO356" s="2"/>
      <c r="AP356" s="2"/>
      <c r="AQ356" s="2"/>
      <c r="AR356" s="2"/>
      <c r="AS356" s="2"/>
      <c r="AT356" s="2"/>
    </row>
    <row r="357" spans="36:46" ht="14.25" customHeight="1">
      <c r="AJ357" s="2"/>
      <c r="AK357" s="2"/>
      <c r="AL357" s="2"/>
      <c r="AM357" s="2"/>
      <c r="AN357" s="2"/>
      <c r="AO357" s="2"/>
      <c r="AP357" s="2"/>
      <c r="AQ357" s="2"/>
      <c r="AR357" s="2"/>
      <c r="AS357" s="2"/>
      <c r="AT357" s="2"/>
    </row>
    <row r="358" spans="36:46" ht="14.25" customHeight="1">
      <c r="AJ358" s="2"/>
      <c r="AK358" s="2"/>
      <c r="AL358" s="2"/>
      <c r="AM358" s="2"/>
      <c r="AN358" s="2"/>
      <c r="AO358" s="2"/>
      <c r="AP358" s="2"/>
      <c r="AQ358" s="2"/>
      <c r="AR358" s="2"/>
      <c r="AS358" s="2"/>
      <c r="AT358" s="2"/>
    </row>
    <row r="359" spans="36:46" ht="14.25" customHeight="1">
      <c r="AJ359" s="2"/>
      <c r="AK359" s="2"/>
      <c r="AL359" s="2"/>
      <c r="AM359" s="2"/>
      <c r="AN359" s="2"/>
      <c r="AO359" s="2"/>
      <c r="AP359" s="2"/>
      <c r="AQ359" s="2"/>
      <c r="AR359" s="2"/>
      <c r="AS359" s="2"/>
      <c r="AT359" s="2"/>
    </row>
    <row r="360" spans="36:46" ht="14.25" customHeight="1">
      <c r="AJ360" s="2"/>
      <c r="AK360" s="2"/>
      <c r="AL360" s="2"/>
      <c r="AM360" s="2"/>
      <c r="AN360" s="2"/>
      <c r="AO360" s="2"/>
      <c r="AP360" s="2"/>
      <c r="AQ360" s="2"/>
      <c r="AR360" s="2"/>
      <c r="AS360" s="2"/>
      <c r="AT360" s="2"/>
    </row>
    <row r="361" spans="36:46" ht="14.25" customHeight="1">
      <c r="AJ361" s="2"/>
      <c r="AK361" s="2"/>
      <c r="AL361" s="2"/>
      <c r="AM361" s="2"/>
      <c r="AN361" s="2"/>
      <c r="AO361" s="2"/>
      <c r="AP361" s="2"/>
      <c r="AQ361" s="2"/>
      <c r="AR361" s="2"/>
      <c r="AS361" s="2"/>
      <c r="AT361" s="2"/>
    </row>
    <row r="362" spans="36:46" ht="14.25" customHeight="1">
      <c r="AJ362" s="2"/>
      <c r="AK362" s="2"/>
      <c r="AL362" s="2"/>
      <c r="AM362" s="2"/>
      <c r="AN362" s="2"/>
      <c r="AO362" s="2"/>
      <c r="AP362" s="2"/>
      <c r="AQ362" s="2"/>
      <c r="AR362" s="2"/>
      <c r="AS362" s="2"/>
      <c r="AT362" s="2"/>
    </row>
    <row r="363" spans="36:46" ht="14.25" customHeight="1">
      <c r="AJ363" s="2"/>
      <c r="AK363" s="2"/>
      <c r="AL363" s="2"/>
      <c r="AM363" s="2"/>
      <c r="AN363" s="2"/>
      <c r="AO363" s="2"/>
      <c r="AP363" s="2"/>
      <c r="AQ363" s="2"/>
      <c r="AR363" s="2"/>
      <c r="AS363" s="2"/>
      <c r="AT363" s="2"/>
    </row>
    <row r="364" spans="36:46" ht="14.25" customHeight="1">
      <c r="AJ364" s="2"/>
      <c r="AK364" s="2"/>
      <c r="AL364" s="2"/>
      <c r="AM364" s="2"/>
      <c r="AN364" s="2"/>
      <c r="AO364" s="2"/>
      <c r="AP364" s="2"/>
      <c r="AQ364" s="2"/>
      <c r="AR364" s="2"/>
      <c r="AS364" s="2"/>
      <c r="AT364" s="2"/>
    </row>
    <row r="365" spans="36:46" ht="14.25" customHeight="1">
      <c r="AJ365" s="2"/>
      <c r="AK365" s="2"/>
      <c r="AL365" s="2"/>
      <c r="AM365" s="2"/>
      <c r="AN365" s="2"/>
      <c r="AO365" s="2"/>
      <c r="AP365" s="2"/>
      <c r="AQ365" s="2"/>
      <c r="AR365" s="2"/>
      <c r="AS365" s="2"/>
      <c r="AT365" s="2"/>
    </row>
    <row r="366" spans="36:46" ht="14.25" customHeight="1">
      <c r="AJ366" s="2"/>
      <c r="AK366" s="2"/>
      <c r="AL366" s="2"/>
      <c r="AM366" s="2"/>
      <c r="AN366" s="2"/>
      <c r="AO366" s="2"/>
      <c r="AP366" s="2"/>
      <c r="AQ366" s="2"/>
      <c r="AR366" s="2"/>
      <c r="AS366" s="2"/>
      <c r="AT366" s="2"/>
    </row>
    <row r="367" spans="36:46" ht="14.25" customHeight="1">
      <c r="AJ367" s="2"/>
      <c r="AK367" s="2"/>
      <c r="AL367" s="2"/>
      <c r="AM367" s="2"/>
      <c r="AN367" s="2"/>
      <c r="AO367" s="2"/>
      <c r="AP367" s="2"/>
      <c r="AQ367" s="2"/>
      <c r="AR367" s="2"/>
      <c r="AS367" s="2"/>
      <c r="AT367" s="2"/>
    </row>
    <row r="368" spans="36:46" ht="14.25" customHeight="1">
      <c r="AJ368" s="2"/>
      <c r="AK368" s="2"/>
      <c r="AL368" s="2"/>
      <c r="AM368" s="2"/>
      <c r="AN368" s="2"/>
      <c r="AO368" s="2"/>
      <c r="AP368" s="2"/>
      <c r="AQ368" s="2"/>
      <c r="AR368" s="2"/>
      <c r="AS368" s="2"/>
      <c r="AT368" s="2"/>
    </row>
    <row r="369" spans="36:46" ht="14.25" customHeight="1">
      <c r="AJ369" s="2"/>
      <c r="AK369" s="2"/>
      <c r="AL369" s="2"/>
      <c r="AM369" s="2"/>
      <c r="AN369" s="2"/>
      <c r="AO369" s="2"/>
      <c r="AP369" s="2"/>
      <c r="AQ369" s="2"/>
      <c r="AR369" s="2"/>
      <c r="AS369" s="2"/>
      <c r="AT369" s="2"/>
    </row>
    <row r="370" spans="36:46" ht="14.25" customHeight="1">
      <c r="AJ370" s="2"/>
      <c r="AK370" s="2"/>
      <c r="AL370" s="2"/>
      <c r="AM370" s="2"/>
      <c r="AN370" s="2"/>
      <c r="AO370" s="2"/>
      <c r="AP370" s="2"/>
      <c r="AQ370" s="2"/>
      <c r="AR370" s="2"/>
      <c r="AS370" s="2"/>
      <c r="AT370" s="2"/>
    </row>
    <row r="371" spans="36:46" ht="14.25" customHeight="1">
      <c r="AJ371" s="2"/>
      <c r="AK371" s="2"/>
      <c r="AL371" s="2"/>
      <c r="AM371" s="2"/>
      <c r="AN371" s="2"/>
      <c r="AO371" s="2"/>
      <c r="AP371" s="2"/>
      <c r="AQ371" s="2"/>
      <c r="AR371" s="2"/>
      <c r="AS371" s="2"/>
      <c r="AT371" s="2"/>
    </row>
    <row r="372" spans="36:46" ht="14.25" customHeight="1">
      <c r="AJ372" s="2"/>
      <c r="AK372" s="2"/>
      <c r="AL372" s="2"/>
      <c r="AM372" s="2"/>
      <c r="AN372" s="2"/>
      <c r="AO372" s="2"/>
      <c r="AP372" s="2"/>
      <c r="AQ372" s="2"/>
      <c r="AR372" s="2"/>
      <c r="AS372" s="2"/>
      <c r="AT372" s="2"/>
    </row>
    <row r="373" spans="36:46" ht="14.25" customHeight="1">
      <c r="AJ373" s="2"/>
      <c r="AK373" s="2"/>
      <c r="AL373" s="2"/>
      <c r="AM373" s="2"/>
      <c r="AN373" s="2"/>
      <c r="AO373" s="2"/>
      <c r="AP373" s="2"/>
      <c r="AQ373" s="2"/>
      <c r="AR373" s="2"/>
      <c r="AS373" s="2"/>
      <c r="AT373" s="2"/>
    </row>
    <row r="374" spans="36:46" ht="14.25" customHeight="1">
      <c r="AJ374" s="2"/>
      <c r="AK374" s="2"/>
      <c r="AL374" s="2"/>
      <c r="AM374" s="2"/>
      <c r="AN374" s="2"/>
      <c r="AO374" s="2"/>
      <c r="AP374" s="2"/>
      <c r="AQ374" s="2"/>
      <c r="AR374" s="2"/>
      <c r="AS374" s="2"/>
      <c r="AT374" s="2"/>
    </row>
    <row r="375" spans="36:46" ht="14.25" customHeight="1">
      <c r="AJ375" s="2"/>
      <c r="AK375" s="2"/>
      <c r="AL375" s="2"/>
      <c r="AM375" s="2"/>
      <c r="AN375" s="2"/>
      <c r="AO375" s="2"/>
      <c r="AP375" s="2"/>
      <c r="AQ375" s="2"/>
      <c r="AR375" s="2"/>
      <c r="AS375" s="2"/>
      <c r="AT375" s="2"/>
    </row>
    <row r="376" spans="36:46" ht="14.25" customHeight="1">
      <c r="AJ376" s="2"/>
      <c r="AK376" s="2"/>
      <c r="AL376" s="2"/>
      <c r="AM376" s="2"/>
      <c r="AN376" s="2"/>
      <c r="AO376" s="2"/>
      <c r="AP376" s="2"/>
      <c r="AQ376" s="2"/>
      <c r="AR376" s="2"/>
      <c r="AS376" s="2"/>
      <c r="AT376" s="2"/>
    </row>
    <row r="377" spans="36:46" ht="14.25" customHeight="1">
      <c r="AJ377" s="2"/>
      <c r="AK377" s="2"/>
      <c r="AL377" s="2"/>
      <c r="AM377" s="2"/>
      <c r="AN377" s="2"/>
      <c r="AO377" s="2"/>
      <c r="AP377" s="2"/>
      <c r="AQ377" s="2"/>
      <c r="AR377" s="2"/>
      <c r="AS377" s="2"/>
      <c r="AT377" s="2"/>
    </row>
    <row r="378" spans="36:46" ht="14.25" customHeight="1">
      <c r="AJ378" s="2"/>
      <c r="AK378" s="2"/>
      <c r="AL378" s="2"/>
      <c r="AM378" s="2"/>
      <c r="AN378" s="2"/>
      <c r="AO378" s="2"/>
      <c r="AP378" s="2"/>
      <c r="AQ378" s="2"/>
      <c r="AR378" s="2"/>
      <c r="AS378" s="2"/>
      <c r="AT378" s="2"/>
    </row>
    <row r="379" spans="36:46" ht="14.25" customHeight="1">
      <c r="AJ379" s="2"/>
      <c r="AK379" s="2"/>
      <c r="AL379" s="2"/>
      <c r="AM379" s="2"/>
      <c r="AN379" s="2"/>
      <c r="AO379" s="2"/>
      <c r="AP379" s="2"/>
      <c r="AQ379" s="2"/>
      <c r="AR379" s="2"/>
      <c r="AS379" s="2"/>
      <c r="AT379" s="2"/>
    </row>
    <row r="380" spans="36:46" ht="14.25" customHeight="1">
      <c r="AJ380" s="2"/>
      <c r="AK380" s="2"/>
      <c r="AL380" s="2"/>
      <c r="AM380" s="2"/>
      <c r="AN380" s="2"/>
      <c r="AO380" s="2"/>
      <c r="AP380" s="2"/>
      <c r="AQ380" s="2"/>
      <c r="AR380" s="2"/>
      <c r="AS380" s="2"/>
      <c r="AT380" s="2"/>
    </row>
    <row r="381" spans="36:46" ht="14.25" customHeight="1">
      <c r="AJ381" s="2"/>
      <c r="AK381" s="2"/>
      <c r="AL381" s="2"/>
      <c r="AM381" s="2"/>
      <c r="AN381" s="2"/>
      <c r="AO381" s="2"/>
      <c r="AP381" s="2"/>
      <c r="AQ381" s="2"/>
      <c r="AR381" s="2"/>
      <c r="AS381" s="2"/>
      <c r="AT381" s="2"/>
    </row>
    <row r="382" spans="36:46" ht="14.25" customHeight="1">
      <c r="AJ382" s="2"/>
      <c r="AK382" s="2"/>
      <c r="AL382" s="2"/>
      <c r="AM382" s="2"/>
      <c r="AN382" s="2"/>
      <c r="AO382" s="2"/>
      <c r="AP382" s="2"/>
      <c r="AQ382" s="2"/>
      <c r="AR382" s="2"/>
      <c r="AS382" s="2"/>
      <c r="AT382" s="2"/>
    </row>
    <row r="383" spans="36:46" ht="14.25" customHeight="1">
      <c r="AJ383" s="2"/>
      <c r="AK383" s="2"/>
      <c r="AL383" s="2"/>
      <c r="AM383" s="2"/>
      <c r="AN383" s="2"/>
      <c r="AO383" s="2"/>
      <c r="AP383" s="2"/>
      <c r="AQ383" s="2"/>
      <c r="AR383" s="2"/>
      <c r="AS383" s="2"/>
      <c r="AT383" s="2"/>
    </row>
    <row r="384" spans="36:46" ht="14.25" customHeight="1">
      <c r="AJ384" s="2"/>
      <c r="AK384" s="2"/>
      <c r="AL384" s="2"/>
      <c r="AM384" s="2"/>
      <c r="AN384" s="2"/>
      <c r="AO384" s="2"/>
      <c r="AP384" s="2"/>
      <c r="AQ384" s="2"/>
      <c r="AR384" s="2"/>
      <c r="AS384" s="2"/>
      <c r="AT384" s="2"/>
    </row>
    <row r="385" spans="36:46" ht="14.25" customHeight="1">
      <c r="AJ385" s="2"/>
      <c r="AK385" s="2"/>
      <c r="AL385" s="2"/>
      <c r="AM385" s="2"/>
      <c r="AN385" s="2"/>
      <c r="AO385" s="2"/>
      <c r="AP385" s="2"/>
      <c r="AQ385" s="2"/>
      <c r="AR385" s="2"/>
      <c r="AS385" s="2"/>
      <c r="AT385" s="2"/>
    </row>
    <row r="386" spans="36:46" ht="14.25" customHeight="1">
      <c r="AJ386" s="2"/>
      <c r="AK386" s="2"/>
      <c r="AL386" s="2"/>
      <c r="AM386" s="2"/>
      <c r="AN386" s="2"/>
      <c r="AO386" s="2"/>
      <c r="AP386" s="2"/>
      <c r="AQ386" s="2"/>
      <c r="AR386" s="2"/>
      <c r="AS386" s="2"/>
      <c r="AT386" s="2"/>
    </row>
    <row r="387" spans="36:46" ht="14.25" customHeight="1">
      <c r="AJ387" s="2"/>
      <c r="AK387" s="2"/>
      <c r="AL387" s="2"/>
      <c r="AM387" s="2"/>
      <c r="AN387" s="2"/>
      <c r="AO387" s="2"/>
      <c r="AP387" s="2"/>
      <c r="AQ387" s="2"/>
      <c r="AR387" s="2"/>
      <c r="AS387" s="2"/>
      <c r="AT387" s="2"/>
    </row>
    <row r="388" spans="36:46" ht="14.25" customHeight="1">
      <c r="AJ388" s="2"/>
      <c r="AK388" s="2"/>
      <c r="AL388" s="2"/>
      <c r="AM388" s="2"/>
      <c r="AN388" s="2"/>
      <c r="AO388" s="2"/>
      <c r="AP388" s="2"/>
      <c r="AQ388" s="2"/>
      <c r="AR388" s="2"/>
      <c r="AS388" s="2"/>
      <c r="AT388" s="2"/>
    </row>
    <row r="389" spans="36:46" ht="14.25" customHeight="1">
      <c r="AJ389" s="2"/>
      <c r="AK389" s="2"/>
      <c r="AL389" s="2"/>
      <c r="AM389" s="2"/>
      <c r="AN389" s="2"/>
      <c r="AO389" s="2"/>
      <c r="AP389" s="2"/>
      <c r="AQ389" s="2"/>
      <c r="AR389" s="2"/>
      <c r="AS389" s="2"/>
      <c r="AT389" s="2"/>
    </row>
    <row r="390" spans="36:46" ht="14.25" customHeight="1">
      <c r="AJ390" s="2"/>
      <c r="AK390" s="2"/>
      <c r="AL390" s="2"/>
      <c r="AM390" s="2"/>
      <c r="AN390" s="2"/>
      <c r="AO390" s="2"/>
      <c r="AP390" s="2"/>
      <c r="AQ390" s="2"/>
      <c r="AR390" s="2"/>
      <c r="AS390" s="2"/>
      <c r="AT390" s="2"/>
    </row>
    <row r="391" spans="36:46" ht="14.25" customHeight="1">
      <c r="AJ391" s="2"/>
      <c r="AK391" s="2"/>
      <c r="AL391" s="2"/>
      <c r="AM391" s="2"/>
      <c r="AN391" s="2"/>
      <c r="AO391" s="2"/>
      <c r="AP391" s="2"/>
      <c r="AQ391" s="2"/>
      <c r="AR391" s="2"/>
      <c r="AS391" s="2"/>
      <c r="AT391" s="2"/>
    </row>
    <row r="392" spans="36:46" ht="14.25" customHeight="1">
      <c r="AJ392" s="2"/>
      <c r="AK392" s="2"/>
      <c r="AL392" s="2"/>
      <c r="AM392" s="2"/>
      <c r="AN392" s="2"/>
      <c r="AO392" s="2"/>
      <c r="AP392" s="2"/>
      <c r="AQ392" s="2"/>
      <c r="AR392" s="2"/>
      <c r="AS392" s="2"/>
      <c r="AT392" s="2"/>
    </row>
    <row r="393" spans="36:46" ht="14.25" customHeight="1">
      <c r="AJ393" s="2"/>
      <c r="AK393" s="2"/>
      <c r="AL393" s="2"/>
      <c r="AM393" s="2"/>
      <c r="AN393" s="2"/>
      <c r="AO393" s="2"/>
      <c r="AP393" s="2"/>
      <c r="AQ393" s="2"/>
      <c r="AR393" s="2"/>
      <c r="AS393" s="2"/>
      <c r="AT393" s="2"/>
    </row>
    <row r="394" spans="36:46" ht="14.25" customHeight="1">
      <c r="AJ394" s="2"/>
      <c r="AK394" s="2"/>
      <c r="AL394" s="2"/>
      <c r="AM394" s="2"/>
      <c r="AN394" s="2"/>
      <c r="AO394" s="2"/>
      <c r="AP394" s="2"/>
      <c r="AQ394" s="2"/>
      <c r="AR394" s="2"/>
      <c r="AS394" s="2"/>
      <c r="AT394" s="2"/>
    </row>
    <row r="395" spans="36:46" ht="14.25" customHeight="1">
      <c r="AJ395" s="2"/>
      <c r="AK395" s="2"/>
      <c r="AL395" s="2"/>
      <c r="AM395" s="2"/>
      <c r="AN395" s="2"/>
      <c r="AO395" s="2"/>
      <c r="AP395" s="2"/>
      <c r="AQ395" s="2"/>
      <c r="AR395" s="2"/>
      <c r="AS395" s="2"/>
      <c r="AT395" s="2"/>
    </row>
    <row r="396" spans="36:46" ht="14.25" customHeight="1">
      <c r="AJ396" s="2"/>
      <c r="AK396" s="2"/>
      <c r="AL396" s="2"/>
      <c r="AM396" s="2"/>
      <c r="AN396" s="2"/>
      <c r="AO396" s="2"/>
      <c r="AP396" s="2"/>
      <c r="AQ396" s="2"/>
      <c r="AR396" s="2"/>
      <c r="AS396" s="2"/>
      <c r="AT396" s="2"/>
    </row>
    <row r="397" spans="36:46" ht="14.25" customHeight="1">
      <c r="AJ397" s="2"/>
      <c r="AK397" s="2"/>
      <c r="AL397" s="2"/>
      <c r="AM397" s="2"/>
      <c r="AN397" s="2"/>
      <c r="AO397" s="2"/>
      <c r="AP397" s="2"/>
      <c r="AQ397" s="2"/>
      <c r="AR397" s="2"/>
      <c r="AS397" s="2"/>
      <c r="AT397" s="2"/>
    </row>
    <row r="398" spans="36:46" ht="14.25" customHeight="1">
      <c r="AJ398" s="2"/>
      <c r="AK398" s="2"/>
      <c r="AL398" s="2"/>
      <c r="AM398" s="2"/>
      <c r="AN398" s="2"/>
      <c r="AO398" s="2"/>
      <c r="AP398" s="2"/>
      <c r="AQ398" s="2"/>
      <c r="AR398" s="2"/>
      <c r="AS398" s="2"/>
      <c r="AT398" s="2"/>
    </row>
    <row r="399" spans="36:46" ht="14.25" customHeight="1">
      <c r="AJ399" s="2"/>
      <c r="AK399" s="2"/>
      <c r="AL399" s="2"/>
      <c r="AM399" s="2"/>
      <c r="AN399" s="2"/>
      <c r="AO399" s="2"/>
      <c r="AP399" s="2"/>
      <c r="AQ399" s="2"/>
      <c r="AR399" s="2"/>
      <c r="AS399" s="2"/>
      <c r="AT399" s="2"/>
    </row>
    <row r="400" spans="36:46" ht="14.25" customHeight="1">
      <c r="AJ400" s="2"/>
      <c r="AK400" s="2"/>
      <c r="AL400" s="2"/>
      <c r="AM400" s="2"/>
      <c r="AN400" s="2"/>
      <c r="AO400" s="2"/>
      <c r="AP400" s="2"/>
      <c r="AQ400" s="2"/>
      <c r="AR400" s="2"/>
      <c r="AS400" s="2"/>
      <c r="AT400" s="2"/>
    </row>
    <row r="401" spans="36:46" ht="14.25" customHeight="1">
      <c r="AJ401" s="2"/>
      <c r="AK401" s="2"/>
      <c r="AL401" s="2"/>
      <c r="AM401" s="2"/>
      <c r="AN401" s="2"/>
      <c r="AO401" s="2"/>
      <c r="AP401" s="2"/>
      <c r="AQ401" s="2"/>
      <c r="AR401" s="2"/>
      <c r="AS401" s="2"/>
      <c r="AT401" s="2"/>
    </row>
    <row r="402" spans="36:46" ht="14.25" customHeight="1">
      <c r="AJ402" s="2"/>
      <c r="AK402" s="2"/>
      <c r="AL402" s="2"/>
      <c r="AM402" s="2"/>
      <c r="AN402" s="2"/>
      <c r="AO402" s="2"/>
      <c r="AP402" s="2"/>
      <c r="AQ402" s="2"/>
      <c r="AR402" s="2"/>
      <c r="AS402" s="2"/>
      <c r="AT402" s="2"/>
    </row>
    <row r="403" spans="36:46" ht="14.25" customHeight="1">
      <c r="AJ403" s="2"/>
      <c r="AK403" s="2"/>
      <c r="AL403" s="2"/>
      <c r="AM403" s="2"/>
      <c r="AN403" s="2"/>
      <c r="AO403" s="2"/>
      <c r="AP403" s="2"/>
      <c r="AQ403" s="2"/>
      <c r="AR403" s="2"/>
      <c r="AS403" s="2"/>
      <c r="AT403" s="2"/>
    </row>
    <row r="404" spans="36:46" ht="14.25" customHeight="1">
      <c r="AJ404" s="2"/>
      <c r="AK404" s="2"/>
      <c r="AL404" s="2"/>
      <c r="AM404" s="2"/>
      <c r="AN404" s="2"/>
      <c r="AO404" s="2"/>
      <c r="AP404" s="2"/>
      <c r="AQ404" s="2"/>
      <c r="AR404" s="2"/>
      <c r="AS404" s="2"/>
      <c r="AT404" s="2"/>
    </row>
    <row r="405" spans="36:46" ht="14.25" customHeight="1">
      <c r="AJ405" s="2"/>
      <c r="AK405" s="2"/>
      <c r="AL405" s="2"/>
      <c r="AM405" s="2"/>
      <c r="AN405" s="2"/>
      <c r="AO405" s="2"/>
      <c r="AP405" s="2"/>
      <c r="AQ405" s="2"/>
      <c r="AR405" s="2"/>
      <c r="AS405" s="2"/>
      <c r="AT405" s="2"/>
    </row>
    <row r="406" spans="36:46" ht="14.25" customHeight="1">
      <c r="AJ406" s="2"/>
      <c r="AK406" s="2"/>
      <c r="AL406" s="2"/>
      <c r="AM406" s="2"/>
      <c r="AN406" s="2"/>
      <c r="AO406" s="2"/>
      <c r="AP406" s="2"/>
      <c r="AQ406" s="2"/>
      <c r="AR406" s="2"/>
      <c r="AS406" s="2"/>
      <c r="AT406" s="2"/>
    </row>
    <row r="407" spans="36:46" ht="14.25" customHeight="1">
      <c r="AJ407" s="2"/>
      <c r="AK407" s="2"/>
      <c r="AL407" s="2"/>
      <c r="AM407" s="2"/>
      <c r="AN407" s="2"/>
      <c r="AO407" s="2"/>
      <c r="AP407" s="2"/>
      <c r="AQ407" s="2"/>
      <c r="AR407" s="2"/>
      <c r="AS407" s="2"/>
      <c r="AT407" s="2"/>
    </row>
    <row r="408" spans="36:46" ht="14.25" customHeight="1">
      <c r="AJ408" s="2"/>
      <c r="AK408" s="2"/>
      <c r="AL408" s="2"/>
      <c r="AM408" s="2"/>
      <c r="AN408" s="2"/>
      <c r="AO408" s="2"/>
      <c r="AP408" s="2"/>
      <c r="AQ408" s="2"/>
      <c r="AR408" s="2"/>
      <c r="AS408" s="2"/>
      <c r="AT408" s="2"/>
    </row>
    <row r="409" spans="36:46" ht="14.25" customHeight="1">
      <c r="AJ409" s="2"/>
      <c r="AK409" s="2"/>
      <c r="AL409" s="2"/>
      <c r="AM409" s="2"/>
      <c r="AN409" s="2"/>
      <c r="AO409" s="2"/>
      <c r="AP409" s="2"/>
      <c r="AQ409" s="2"/>
      <c r="AR409" s="2"/>
      <c r="AS409" s="2"/>
      <c r="AT409" s="2"/>
    </row>
    <row r="410" spans="36:46" ht="14.25" customHeight="1">
      <c r="AJ410" s="2"/>
      <c r="AK410" s="2"/>
      <c r="AL410" s="2"/>
      <c r="AM410" s="2"/>
      <c r="AN410" s="2"/>
      <c r="AO410" s="2"/>
      <c r="AP410" s="2"/>
      <c r="AQ410" s="2"/>
      <c r="AR410" s="2"/>
      <c r="AS410" s="2"/>
      <c r="AT410" s="2"/>
    </row>
    <row r="411" spans="36:46" ht="14.25" customHeight="1">
      <c r="AJ411" s="2"/>
      <c r="AK411" s="2"/>
      <c r="AL411" s="2"/>
      <c r="AM411" s="2"/>
      <c r="AN411" s="2"/>
      <c r="AO411" s="2"/>
      <c r="AP411" s="2"/>
      <c r="AQ411" s="2"/>
      <c r="AR411" s="2"/>
      <c r="AS411" s="2"/>
      <c r="AT411" s="2"/>
    </row>
    <row r="412" spans="36:46" ht="14.25" customHeight="1">
      <c r="AJ412" s="2"/>
      <c r="AK412" s="2"/>
      <c r="AL412" s="2"/>
      <c r="AM412" s="2"/>
      <c r="AN412" s="2"/>
      <c r="AO412" s="2"/>
      <c r="AP412" s="2"/>
      <c r="AQ412" s="2"/>
      <c r="AR412" s="2"/>
      <c r="AS412" s="2"/>
      <c r="AT412" s="2"/>
    </row>
    <row r="413" spans="36:46" ht="14.25" customHeight="1">
      <c r="AJ413" s="2"/>
      <c r="AK413" s="2"/>
      <c r="AL413" s="2"/>
      <c r="AM413" s="2"/>
      <c r="AN413" s="2"/>
      <c r="AO413" s="2"/>
      <c r="AP413" s="2"/>
      <c r="AQ413" s="2"/>
      <c r="AR413" s="2"/>
      <c r="AS413" s="2"/>
      <c r="AT413" s="2"/>
    </row>
    <row r="414" spans="36:46" ht="14.25" customHeight="1">
      <c r="AJ414" s="2"/>
      <c r="AK414" s="2"/>
      <c r="AL414" s="2"/>
      <c r="AM414" s="2"/>
      <c r="AN414" s="2"/>
      <c r="AO414" s="2"/>
      <c r="AP414" s="2"/>
      <c r="AQ414" s="2"/>
      <c r="AR414" s="2"/>
      <c r="AS414" s="2"/>
      <c r="AT414" s="2"/>
    </row>
    <row r="415" spans="36:46" ht="14.25" customHeight="1">
      <c r="AJ415" s="2"/>
      <c r="AK415" s="2"/>
      <c r="AL415" s="2"/>
      <c r="AM415" s="2"/>
      <c r="AN415" s="2"/>
      <c r="AO415" s="2"/>
      <c r="AP415" s="2"/>
      <c r="AQ415" s="2"/>
      <c r="AR415" s="2"/>
      <c r="AS415" s="2"/>
      <c r="AT415" s="2"/>
    </row>
    <row r="416" spans="36:46" ht="14.25" customHeight="1">
      <c r="AJ416" s="2"/>
      <c r="AK416" s="2"/>
      <c r="AL416" s="2"/>
      <c r="AM416" s="2"/>
      <c r="AN416" s="2"/>
      <c r="AO416" s="2"/>
      <c r="AP416" s="2"/>
      <c r="AQ416" s="2"/>
      <c r="AR416" s="2"/>
      <c r="AS416" s="2"/>
      <c r="AT416" s="2"/>
    </row>
    <row r="417" spans="36:46" ht="14.25" customHeight="1">
      <c r="AJ417" s="2"/>
      <c r="AK417" s="2"/>
      <c r="AL417" s="2"/>
      <c r="AM417" s="2"/>
      <c r="AN417" s="2"/>
      <c r="AO417" s="2"/>
      <c r="AP417" s="2"/>
      <c r="AQ417" s="2"/>
      <c r="AR417" s="2"/>
      <c r="AS417" s="2"/>
      <c r="AT417" s="2"/>
    </row>
    <row r="418" spans="36:46" ht="14.25" customHeight="1">
      <c r="AJ418" s="2"/>
      <c r="AK418" s="2"/>
      <c r="AL418" s="2"/>
      <c r="AM418" s="2"/>
      <c r="AN418" s="2"/>
      <c r="AO418" s="2"/>
      <c r="AP418" s="2"/>
      <c r="AQ418" s="2"/>
      <c r="AR418" s="2"/>
      <c r="AS418" s="2"/>
      <c r="AT418" s="2"/>
    </row>
    <row r="419" spans="36:46" ht="14.25" customHeight="1">
      <c r="AJ419" s="2"/>
      <c r="AK419" s="2"/>
      <c r="AL419" s="2"/>
      <c r="AM419" s="2"/>
      <c r="AN419" s="2"/>
      <c r="AO419" s="2"/>
      <c r="AP419" s="2"/>
      <c r="AQ419" s="2"/>
      <c r="AR419" s="2"/>
      <c r="AS419" s="2"/>
      <c r="AT419" s="2"/>
    </row>
    <row r="420" spans="36:46" ht="14.25" customHeight="1">
      <c r="AJ420" s="2"/>
      <c r="AK420" s="2"/>
      <c r="AL420" s="2"/>
      <c r="AM420" s="2"/>
      <c r="AN420" s="2"/>
      <c r="AO420" s="2"/>
      <c r="AP420" s="2"/>
      <c r="AQ420" s="2"/>
      <c r="AR420" s="2"/>
      <c r="AS420" s="2"/>
      <c r="AT420" s="2"/>
    </row>
    <row r="421" spans="36:46" ht="14.25" customHeight="1">
      <c r="AJ421" s="2"/>
      <c r="AK421" s="2"/>
      <c r="AL421" s="2"/>
      <c r="AM421" s="2"/>
      <c r="AN421" s="2"/>
      <c r="AO421" s="2"/>
      <c r="AP421" s="2"/>
      <c r="AQ421" s="2"/>
      <c r="AR421" s="2"/>
      <c r="AS421" s="2"/>
      <c r="AT421" s="2"/>
    </row>
    <row r="422" spans="36:46" ht="14.25" customHeight="1">
      <c r="AJ422" s="2"/>
      <c r="AK422" s="2"/>
      <c r="AL422" s="2"/>
      <c r="AM422" s="2"/>
      <c r="AN422" s="2"/>
      <c r="AO422" s="2"/>
      <c r="AP422" s="2"/>
      <c r="AQ422" s="2"/>
      <c r="AR422" s="2"/>
      <c r="AS422" s="2"/>
      <c r="AT422" s="2"/>
    </row>
    <row r="423" spans="36:46" ht="14.25" customHeight="1">
      <c r="AJ423" s="2"/>
      <c r="AK423" s="2"/>
      <c r="AL423" s="2"/>
      <c r="AM423" s="2"/>
      <c r="AN423" s="2"/>
      <c r="AO423" s="2"/>
      <c r="AP423" s="2"/>
      <c r="AQ423" s="2"/>
      <c r="AR423" s="2"/>
      <c r="AS423" s="2"/>
      <c r="AT423" s="2"/>
    </row>
    <row r="424" spans="36:46" ht="14.25" customHeight="1">
      <c r="AJ424" s="2"/>
      <c r="AK424" s="2"/>
      <c r="AL424" s="2"/>
      <c r="AM424" s="2"/>
      <c r="AN424" s="2"/>
      <c r="AO424" s="2"/>
      <c r="AP424" s="2"/>
      <c r="AQ424" s="2"/>
      <c r="AR424" s="2"/>
      <c r="AS424" s="2"/>
      <c r="AT424" s="2"/>
    </row>
    <row r="425" spans="36:46" ht="14.25" customHeight="1">
      <c r="AJ425" s="2"/>
      <c r="AK425" s="2"/>
      <c r="AL425" s="2"/>
      <c r="AM425" s="2"/>
      <c r="AN425" s="2"/>
      <c r="AO425" s="2"/>
      <c r="AP425" s="2"/>
      <c r="AQ425" s="2"/>
      <c r="AR425" s="2"/>
      <c r="AS425" s="2"/>
      <c r="AT425" s="2"/>
    </row>
    <row r="426" spans="36:46" ht="14.25" customHeight="1">
      <c r="AJ426" s="2"/>
      <c r="AK426" s="2"/>
      <c r="AL426" s="2"/>
      <c r="AM426" s="2"/>
      <c r="AN426" s="2"/>
      <c r="AO426" s="2"/>
      <c r="AP426" s="2"/>
      <c r="AQ426" s="2"/>
      <c r="AR426" s="2"/>
      <c r="AS426" s="2"/>
      <c r="AT426" s="2"/>
    </row>
    <row r="427" spans="36:46" ht="14.25" customHeight="1">
      <c r="AJ427" s="2"/>
      <c r="AK427" s="2"/>
      <c r="AL427" s="2"/>
      <c r="AM427" s="2"/>
      <c r="AN427" s="2"/>
      <c r="AO427" s="2"/>
      <c r="AP427" s="2"/>
      <c r="AQ427" s="2"/>
      <c r="AR427" s="2"/>
      <c r="AS427" s="2"/>
      <c r="AT427" s="2"/>
    </row>
    <row r="428" spans="36:46" ht="14.25" customHeight="1">
      <c r="AJ428" s="2"/>
      <c r="AK428" s="2"/>
      <c r="AL428" s="2"/>
      <c r="AM428" s="2"/>
      <c r="AN428" s="2"/>
      <c r="AO428" s="2"/>
      <c r="AP428" s="2"/>
      <c r="AQ428" s="2"/>
      <c r="AR428" s="2"/>
      <c r="AS428" s="2"/>
      <c r="AT428" s="2"/>
    </row>
    <row r="429" spans="36:46" ht="14.25" customHeight="1">
      <c r="AJ429" s="2"/>
      <c r="AK429" s="2"/>
      <c r="AL429" s="2"/>
      <c r="AM429" s="2"/>
      <c r="AN429" s="2"/>
      <c r="AO429" s="2"/>
      <c r="AP429" s="2"/>
      <c r="AQ429" s="2"/>
      <c r="AR429" s="2"/>
      <c r="AS429" s="2"/>
      <c r="AT429" s="2"/>
    </row>
    <row r="430" spans="36:46" ht="14.25" customHeight="1">
      <c r="AJ430" s="2"/>
      <c r="AK430" s="2"/>
      <c r="AL430" s="2"/>
      <c r="AM430" s="2"/>
      <c r="AN430" s="2"/>
      <c r="AO430" s="2"/>
      <c r="AP430" s="2"/>
      <c r="AQ430" s="2"/>
      <c r="AR430" s="2"/>
      <c r="AS430" s="2"/>
      <c r="AT430" s="2"/>
    </row>
    <row r="431" spans="36:46" ht="14.25" customHeight="1">
      <c r="AJ431" s="2"/>
      <c r="AK431" s="2"/>
      <c r="AL431" s="2"/>
      <c r="AM431" s="2"/>
      <c r="AN431" s="2"/>
      <c r="AO431" s="2"/>
      <c r="AP431" s="2"/>
      <c r="AQ431" s="2"/>
      <c r="AR431" s="2"/>
      <c r="AS431" s="2"/>
      <c r="AT431" s="2"/>
    </row>
    <row r="432" spans="36:46" ht="14.25" customHeight="1">
      <c r="AJ432" s="2"/>
      <c r="AK432" s="2"/>
      <c r="AL432" s="2"/>
      <c r="AM432" s="2"/>
      <c r="AN432" s="2"/>
      <c r="AO432" s="2"/>
      <c r="AP432" s="2"/>
      <c r="AQ432" s="2"/>
      <c r="AR432" s="2"/>
      <c r="AS432" s="2"/>
      <c r="AT432" s="2"/>
    </row>
    <row r="433" spans="36:46" ht="14.25" customHeight="1">
      <c r="AJ433" s="2"/>
      <c r="AK433" s="2"/>
      <c r="AL433" s="2"/>
      <c r="AM433" s="2"/>
      <c r="AN433" s="2"/>
      <c r="AO433" s="2"/>
      <c r="AP433" s="2"/>
      <c r="AQ433" s="2"/>
      <c r="AR433" s="2"/>
      <c r="AS433" s="2"/>
      <c r="AT433" s="2"/>
    </row>
    <row r="434" spans="36:46" ht="14.25" customHeight="1">
      <c r="AJ434" s="2"/>
      <c r="AK434" s="2"/>
      <c r="AL434" s="2"/>
      <c r="AM434" s="2"/>
      <c r="AN434" s="2"/>
      <c r="AO434" s="2"/>
      <c r="AP434" s="2"/>
      <c r="AQ434" s="2"/>
      <c r="AR434" s="2"/>
      <c r="AS434" s="2"/>
      <c r="AT434" s="2"/>
    </row>
    <row r="435" spans="36:46" ht="14.25" customHeight="1">
      <c r="AJ435" s="2"/>
      <c r="AK435" s="2"/>
      <c r="AL435" s="2"/>
      <c r="AM435" s="2"/>
      <c r="AN435" s="2"/>
      <c r="AO435" s="2"/>
      <c r="AP435" s="2"/>
      <c r="AQ435" s="2"/>
      <c r="AR435" s="2"/>
      <c r="AS435" s="2"/>
      <c r="AT435" s="2"/>
    </row>
    <row r="436" spans="36:46" ht="14.25" customHeight="1">
      <c r="AJ436" s="2"/>
      <c r="AK436" s="2"/>
      <c r="AL436" s="2"/>
      <c r="AM436" s="2"/>
      <c r="AN436" s="2"/>
      <c r="AO436" s="2"/>
      <c r="AP436" s="2"/>
      <c r="AQ436" s="2"/>
      <c r="AR436" s="2"/>
      <c r="AS436" s="2"/>
      <c r="AT436" s="2"/>
    </row>
    <row r="437" spans="36:46" ht="14.25" customHeight="1">
      <c r="AJ437" s="2"/>
      <c r="AK437" s="2"/>
      <c r="AL437" s="2"/>
      <c r="AM437" s="2"/>
      <c r="AN437" s="2"/>
      <c r="AO437" s="2"/>
      <c r="AP437" s="2"/>
      <c r="AQ437" s="2"/>
      <c r="AR437" s="2"/>
      <c r="AS437" s="2"/>
      <c r="AT437" s="2"/>
    </row>
    <row r="438" spans="36:46" ht="14.25" customHeight="1">
      <c r="AJ438" s="2"/>
      <c r="AK438" s="2"/>
      <c r="AL438" s="2"/>
      <c r="AM438" s="2"/>
      <c r="AN438" s="2"/>
      <c r="AO438" s="2"/>
      <c r="AP438" s="2"/>
      <c r="AQ438" s="2"/>
      <c r="AR438" s="2"/>
      <c r="AS438" s="2"/>
      <c r="AT438" s="2"/>
    </row>
    <row r="439" spans="36:46" ht="14.25" customHeight="1">
      <c r="AJ439" s="2"/>
      <c r="AK439" s="2"/>
      <c r="AL439" s="2"/>
      <c r="AM439" s="2"/>
      <c r="AN439" s="2"/>
      <c r="AO439" s="2"/>
      <c r="AP439" s="2"/>
      <c r="AQ439" s="2"/>
      <c r="AR439" s="2"/>
      <c r="AS439" s="2"/>
      <c r="AT439" s="2"/>
    </row>
    <row r="440" spans="36:46" ht="14.25" customHeight="1">
      <c r="AJ440" s="2"/>
      <c r="AK440" s="2"/>
      <c r="AL440" s="2"/>
      <c r="AM440" s="2"/>
      <c r="AN440" s="2"/>
      <c r="AO440" s="2"/>
      <c r="AP440" s="2"/>
      <c r="AQ440" s="2"/>
      <c r="AR440" s="2"/>
      <c r="AS440" s="2"/>
      <c r="AT440" s="2"/>
    </row>
    <row r="441" spans="36:46" ht="14.25" customHeight="1">
      <c r="AJ441" s="2"/>
      <c r="AK441" s="2"/>
      <c r="AL441" s="2"/>
      <c r="AM441" s="2"/>
      <c r="AN441" s="2"/>
      <c r="AO441" s="2"/>
      <c r="AP441" s="2"/>
      <c r="AQ441" s="2"/>
      <c r="AR441" s="2"/>
      <c r="AS441" s="2"/>
      <c r="AT441" s="2"/>
    </row>
    <row r="442" spans="36:46" ht="14.25" customHeight="1">
      <c r="AJ442" s="2"/>
      <c r="AK442" s="2"/>
      <c r="AL442" s="2"/>
      <c r="AM442" s="2"/>
      <c r="AN442" s="2"/>
      <c r="AO442" s="2"/>
      <c r="AP442" s="2"/>
      <c r="AQ442" s="2"/>
      <c r="AR442" s="2"/>
      <c r="AS442" s="2"/>
      <c r="AT442" s="2"/>
    </row>
    <row r="443" spans="36:46" ht="14.25" customHeight="1">
      <c r="AJ443" s="2"/>
      <c r="AK443" s="2"/>
      <c r="AL443" s="2"/>
      <c r="AM443" s="2"/>
      <c r="AN443" s="2"/>
      <c r="AO443" s="2"/>
      <c r="AP443" s="2"/>
      <c r="AQ443" s="2"/>
      <c r="AR443" s="2"/>
      <c r="AS443" s="2"/>
      <c r="AT443" s="2"/>
    </row>
    <row r="444" spans="36:46" ht="14.25" customHeight="1">
      <c r="AJ444" s="2"/>
      <c r="AK444" s="2"/>
      <c r="AL444" s="2"/>
      <c r="AM444" s="2"/>
      <c r="AN444" s="2"/>
      <c r="AO444" s="2"/>
      <c r="AP444" s="2"/>
      <c r="AQ444" s="2"/>
      <c r="AR444" s="2"/>
      <c r="AS444" s="2"/>
      <c r="AT444" s="2"/>
    </row>
    <row r="445" spans="36:46" ht="14.25" customHeight="1">
      <c r="AJ445" s="2"/>
      <c r="AK445" s="2"/>
      <c r="AL445" s="2"/>
      <c r="AM445" s="2"/>
      <c r="AN445" s="2"/>
      <c r="AO445" s="2"/>
      <c r="AP445" s="2"/>
      <c r="AQ445" s="2"/>
      <c r="AR445" s="2"/>
      <c r="AS445" s="2"/>
      <c r="AT445" s="2"/>
    </row>
    <row r="446" spans="36:46" ht="14.25" customHeight="1">
      <c r="AJ446" s="2"/>
      <c r="AK446" s="2"/>
      <c r="AL446" s="2"/>
      <c r="AM446" s="2"/>
      <c r="AN446" s="2"/>
      <c r="AO446" s="2"/>
      <c r="AP446" s="2"/>
      <c r="AQ446" s="2"/>
      <c r="AR446" s="2"/>
      <c r="AS446" s="2"/>
      <c r="AT446" s="2"/>
    </row>
    <row r="447" spans="36:46" ht="14.25" customHeight="1">
      <c r="AJ447" s="2"/>
      <c r="AK447" s="2"/>
      <c r="AL447" s="2"/>
      <c r="AM447" s="2"/>
      <c r="AN447" s="2"/>
      <c r="AO447" s="2"/>
      <c r="AP447" s="2"/>
      <c r="AQ447" s="2"/>
      <c r="AR447" s="2"/>
      <c r="AS447" s="2"/>
      <c r="AT447" s="2"/>
    </row>
    <row r="448" spans="36:46" ht="14.25" customHeight="1">
      <c r="AJ448" s="2"/>
      <c r="AK448" s="2"/>
      <c r="AL448" s="2"/>
      <c r="AM448" s="2"/>
      <c r="AN448" s="2"/>
      <c r="AO448" s="2"/>
      <c r="AP448" s="2"/>
      <c r="AQ448" s="2"/>
      <c r="AR448" s="2"/>
      <c r="AS448" s="2"/>
      <c r="AT448" s="2"/>
    </row>
    <row r="449" spans="36:46" ht="14.25" customHeight="1">
      <c r="AJ449" s="2"/>
      <c r="AK449" s="2"/>
      <c r="AL449" s="2"/>
      <c r="AM449" s="2"/>
      <c r="AN449" s="2"/>
      <c r="AO449" s="2"/>
      <c r="AP449" s="2"/>
      <c r="AQ449" s="2"/>
      <c r="AR449" s="2"/>
      <c r="AS449" s="2"/>
      <c r="AT449" s="2"/>
    </row>
    <row r="450" spans="36:46" ht="14.25" customHeight="1">
      <c r="AJ450" s="2"/>
      <c r="AK450" s="2"/>
      <c r="AL450" s="2"/>
      <c r="AM450" s="2"/>
      <c r="AN450" s="2"/>
      <c r="AO450" s="2"/>
      <c r="AP450" s="2"/>
      <c r="AQ450" s="2"/>
      <c r="AR450" s="2"/>
      <c r="AS450" s="2"/>
      <c r="AT450" s="2"/>
    </row>
    <row r="451" spans="36:46" ht="14.25" customHeight="1">
      <c r="AJ451" s="2"/>
      <c r="AK451" s="2"/>
      <c r="AL451" s="2"/>
      <c r="AM451" s="2"/>
      <c r="AN451" s="2"/>
      <c r="AO451" s="2"/>
      <c r="AP451" s="2"/>
      <c r="AQ451" s="2"/>
      <c r="AR451" s="2"/>
      <c r="AS451" s="2"/>
      <c r="AT451" s="2"/>
    </row>
    <row r="452" spans="36:46" ht="14.25" customHeight="1">
      <c r="AJ452" s="2"/>
      <c r="AK452" s="2"/>
      <c r="AL452" s="2"/>
      <c r="AM452" s="2"/>
      <c r="AN452" s="2"/>
      <c r="AO452" s="2"/>
      <c r="AP452" s="2"/>
      <c r="AQ452" s="2"/>
      <c r="AR452" s="2"/>
      <c r="AS452" s="2"/>
      <c r="AT452" s="2"/>
    </row>
    <row r="453" spans="36:46" ht="14.25" customHeight="1">
      <c r="AJ453" s="2"/>
      <c r="AK453" s="2"/>
      <c r="AL453" s="2"/>
      <c r="AM453" s="2"/>
      <c r="AN453" s="2"/>
      <c r="AO453" s="2"/>
      <c r="AP453" s="2"/>
      <c r="AQ453" s="2"/>
      <c r="AR453" s="2"/>
      <c r="AS453" s="2"/>
      <c r="AT453" s="2"/>
    </row>
    <row r="454" spans="36:46" ht="14.25" customHeight="1">
      <c r="AJ454" s="2"/>
      <c r="AK454" s="2"/>
      <c r="AL454" s="2"/>
      <c r="AM454" s="2"/>
      <c r="AN454" s="2"/>
      <c r="AO454" s="2"/>
      <c r="AP454" s="2"/>
      <c r="AQ454" s="2"/>
      <c r="AR454" s="2"/>
      <c r="AS454" s="2"/>
      <c r="AT454" s="2"/>
    </row>
    <row r="455" spans="36:46" ht="14.25" customHeight="1">
      <c r="AJ455" s="2"/>
      <c r="AK455" s="2"/>
      <c r="AL455" s="2"/>
      <c r="AM455" s="2"/>
      <c r="AN455" s="2"/>
      <c r="AO455" s="2"/>
      <c r="AP455" s="2"/>
      <c r="AQ455" s="2"/>
      <c r="AR455" s="2"/>
      <c r="AS455" s="2"/>
      <c r="AT455" s="2"/>
    </row>
    <row r="456" spans="36:46" ht="14.25" customHeight="1">
      <c r="AJ456" s="2"/>
      <c r="AK456" s="2"/>
      <c r="AL456" s="2"/>
      <c r="AM456" s="2"/>
      <c r="AN456" s="2"/>
      <c r="AO456" s="2"/>
      <c r="AP456" s="2"/>
      <c r="AQ456" s="2"/>
      <c r="AR456" s="2"/>
      <c r="AS456" s="2"/>
      <c r="AT456" s="2"/>
    </row>
    <row r="457" spans="36:46" ht="14.25" customHeight="1">
      <c r="AJ457" s="2"/>
      <c r="AK457" s="2"/>
      <c r="AL457" s="2"/>
      <c r="AM457" s="2"/>
      <c r="AN457" s="2"/>
      <c r="AO457" s="2"/>
      <c r="AP457" s="2"/>
      <c r="AQ457" s="2"/>
      <c r="AR457" s="2"/>
      <c r="AS457" s="2"/>
      <c r="AT457" s="2"/>
    </row>
    <row r="458" spans="36:46" ht="14.25" customHeight="1">
      <c r="AJ458" s="2"/>
      <c r="AK458" s="2"/>
      <c r="AL458" s="2"/>
      <c r="AM458" s="2"/>
      <c r="AN458" s="2"/>
      <c r="AO458" s="2"/>
      <c r="AP458" s="2"/>
      <c r="AQ458" s="2"/>
      <c r="AR458" s="2"/>
      <c r="AS458" s="2"/>
      <c r="AT458" s="2"/>
    </row>
    <row r="459" spans="36:46" ht="14.25" customHeight="1">
      <c r="AJ459" s="2"/>
      <c r="AK459" s="2"/>
      <c r="AL459" s="2"/>
      <c r="AM459" s="2"/>
      <c r="AN459" s="2"/>
      <c r="AO459" s="2"/>
      <c r="AP459" s="2"/>
      <c r="AQ459" s="2"/>
      <c r="AR459" s="2"/>
      <c r="AS459" s="2"/>
      <c r="AT459" s="2"/>
    </row>
    <row r="460" spans="36:46" ht="14.25" customHeight="1">
      <c r="AJ460" s="2"/>
      <c r="AK460" s="2"/>
      <c r="AL460" s="2"/>
      <c r="AM460" s="2"/>
      <c r="AN460" s="2"/>
      <c r="AO460" s="2"/>
      <c r="AP460" s="2"/>
      <c r="AQ460" s="2"/>
      <c r="AR460" s="2"/>
      <c r="AS460" s="2"/>
      <c r="AT460" s="2"/>
    </row>
    <row r="461" spans="36:46" ht="14.25" customHeight="1">
      <c r="AJ461" s="2"/>
      <c r="AK461" s="2"/>
      <c r="AL461" s="2"/>
      <c r="AM461" s="2"/>
      <c r="AN461" s="2"/>
      <c r="AO461" s="2"/>
      <c r="AP461" s="2"/>
      <c r="AQ461" s="2"/>
      <c r="AR461" s="2"/>
      <c r="AS461" s="2"/>
      <c r="AT461" s="2"/>
    </row>
    <row r="462" spans="36:46" ht="14.25" customHeight="1">
      <c r="AJ462" s="2"/>
      <c r="AK462" s="2"/>
      <c r="AL462" s="2"/>
      <c r="AM462" s="2"/>
      <c r="AN462" s="2"/>
      <c r="AO462" s="2"/>
      <c r="AP462" s="2"/>
      <c r="AQ462" s="2"/>
      <c r="AR462" s="2"/>
      <c r="AS462" s="2"/>
      <c r="AT462" s="2"/>
    </row>
    <row r="463" spans="36:46" ht="14.25" customHeight="1">
      <c r="AJ463" s="2"/>
      <c r="AK463" s="2"/>
      <c r="AL463" s="2"/>
      <c r="AM463" s="2"/>
      <c r="AN463" s="2"/>
      <c r="AO463" s="2"/>
      <c r="AP463" s="2"/>
      <c r="AQ463" s="2"/>
      <c r="AR463" s="2"/>
      <c r="AS463" s="2"/>
      <c r="AT463" s="2"/>
    </row>
    <row r="464" spans="36:46" ht="14.25" customHeight="1">
      <c r="AJ464" s="2"/>
      <c r="AK464" s="2"/>
      <c r="AL464" s="2"/>
      <c r="AM464" s="2"/>
      <c r="AN464" s="2"/>
      <c r="AO464" s="2"/>
      <c r="AP464" s="2"/>
      <c r="AQ464" s="2"/>
      <c r="AR464" s="2"/>
      <c r="AS464" s="2"/>
      <c r="AT464" s="2"/>
    </row>
    <row r="465" spans="36:46" ht="14.25" customHeight="1">
      <c r="AJ465" s="2"/>
      <c r="AK465" s="2"/>
      <c r="AL465" s="2"/>
      <c r="AM465" s="2"/>
      <c r="AN465" s="2"/>
      <c r="AO465" s="2"/>
      <c r="AP465" s="2"/>
      <c r="AQ465" s="2"/>
      <c r="AR465" s="2"/>
      <c r="AS465" s="2"/>
      <c r="AT465" s="2"/>
    </row>
    <row r="466" spans="36:46" ht="14.25" customHeight="1">
      <c r="AJ466" s="2"/>
      <c r="AK466" s="2"/>
      <c r="AL466" s="2"/>
      <c r="AM466" s="2"/>
      <c r="AN466" s="2"/>
      <c r="AO466" s="2"/>
      <c r="AP466" s="2"/>
      <c r="AQ466" s="2"/>
      <c r="AR466" s="2"/>
      <c r="AS466" s="2"/>
      <c r="AT466" s="2"/>
    </row>
    <row r="467" spans="36:46" ht="14.25" customHeight="1">
      <c r="AJ467" s="2"/>
      <c r="AK467" s="2"/>
      <c r="AL467" s="2"/>
      <c r="AM467" s="2"/>
      <c r="AN467" s="2"/>
      <c r="AO467" s="2"/>
      <c r="AP467" s="2"/>
      <c r="AQ467" s="2"/>
      <c r="AR467" s="2"/>
      <c r="AS467" s="2"/>
      <c r="AT467" s="2"/>
    </row>
    <row r="468" spans="36:46" ht="14.25" customHeight="1">
      <c r="AJ468" s="2"/>
      <c r="AK468" s="2"/>
      <c r="AL468" s="2"/>
      <c r="AM468" s="2"/>
      <c r="AN468" s="2"/>
      <c r="AO468" s="2"/>
      <c r="AP468" s="2"/>
      <c r="AQ468" s="2"/>
      <c r="AR468" s="2"/>
      <c r="AS468" s="2"/>
      <c r="AT468" s="2"/>
    </row>
    <row r="469" spans="36:46" ht="14.25" customHeight="1">
      <c r="AJ469" s="2"/>
      <c r="AK469" s="2"/>
      <c r="AL469" s="2"/>
      <c r="AM469" s="2"/>
      <c r="AN469" s="2"/>
      <c r="AO469" s="2"/>
      <c r="AP469" s="2"/>
      <c r="AQ469" s="2"/>
      <c r="AR469" s="2"/>
      <c r="AS469" s="2"/>
      <c r="AT469" s="2"/>
    </row>
    <row r="470" spans="36:46" ht="14.25" customHeight="1">
      <c r="AJ470" s="2"/>
      <c r="AK470" s="2"/>
      <c r="AL470" s="2"/>
      <c r="AM470" s="2"/>
      <c r="AN470" s="2"/>
      <c r="AO470" s="2"/>
      <c r="AP470" s="2"/>
      <c r="AQ470" s="2"/>
      <c r="AR470" s="2"/>
      <c r="AS470" s="2"/>
      <c r="AT470" s="2"/>
    </row>
    <row r="471" spans="36:46" ht="14.25" customHeight="1">
      <c r="AJ471" s="2"/>
      <c r="AK471" s="2"/>
      <c r="AL471" s="2"/>
      <c r="AM471" s="2"/>
      <c r="AN471" s="2"/>
      <c r="AO471" s="2"/>
      <c r="AP471" s="2"/>
      <c r="AQ471" s="2"/>
      <c r="AR471" s="2"/>
      <c r="AS471" s="2"/>
      <c r="AT471" s="2"/>
    </row>
    <row r="472" spans="36:46" ht="14.25" customHeight="1">
      <c r="AJ472" s="2"/>
      <c r="AK472" s="2"/>
      <c r="AL472" s="2"/>
      <c r="AM472" s="2"/>
      <c r="AN472" s="2"/>
      <c r="AO472" s="2"/>
      <c r="AP472" s="2"/>
      <c r="AQ472" s="2"/>
      <c r="AR472" s="2"/>
      <c r="AS472" s="2"/>
      <c r="AT472" s="2"/>
    </row>
    <row r="473" spans="36:46" ht="14.25" customHeight="1">
      <c r="AJ473" s="2"/>
      <c r="AK473" s="2"/>
      <c r="AL473" s="2"/>
      <c r="AM473" s="2"/>
      <c r="AN473" s="2"/>
      <c r="AO473" s="2"/>
      <c r="AP473" s="2"/>
      <c r="AQ473" s="2"/>
      <c r="AR473" s="2"/>
      <c r="AS473" s="2"/>
      <c r="AT473" s="2"/>
    </row>
    <row r="474" spans="36:46" ht="14.25" customHeight="1">
      <c r="AJ474" s="2"/>
      <c r="AK474" s="2"/>
      <c r="AL474" s="2"/>
      <c r="AM474" s="2"/>
      <c r="AN474" s="2"/>
      <c r="AO474" s="2"/>
      <c r="AP474" s="2"/>
      <c r="AQ474" s="2"/>
      <c r="AR474" s="2"/>
      <c r="AS474" s="2"/>
      <c r="AT474" s="2"/>
    </row>
    <row r="475" spans="36:46" ht="14.25" customHeight="1">
      <c r="AJ475" s="2"/>
      <c r="AK475" s="2"/>
      <c r="AL475" s="2"/>
      <c r="AM475" s="2"/>
      <c r="AN475" s="2"/>
      <c r="AO475" s="2"/>
      <c r="AP475" s="2"/>
      <c r="AQ475" s="2"/>
      <c r="AR475" s="2"/>
      <c r="AS475" s="2"/>
      <c r="AT475" s="2"/>
    </row>
    <row r="476" spans="36:46" ht="14.25" customHeight="1">
      <c r="AJ476" s="2"/>
      <c r="AK476" s="2"/>
      <c r="AL476" s="2"/>
      <c r="AM476" s="2"/>
      <c r="AN476" s="2"/>
      <c r="AO476" s="2"/>
      <c r="AP476" s="2"/>
      <c r="AQ476" s="2"/>
      <c r="AR476" s="2"/>
      <c r="AS476" s="2"/>
      <c r="AT476" s="2"/>
    </row>
    <row r="477" spans="36:46" ht="14.25" customHeight="1">
      <c r="AJ477" s="2"/>
      <c r="AK477" s="2"/>
      <c r="AL477" s="2"/>
      <c r="AM477" s="2"/>
      <c r="AN477" s="2"/>
      <c r="AO477" s="2"/>
      <c r="AP477" s="2"/>
      <c r="AQ477" s="2"/>
      <c r="AR477" s="2"/>
      <c r="AS477" s="2"/>
      <c r="AT477" s="2"/>
    </row>
    <row r="478" spans="36:46" ht="14.25" customHeight="1">
      <c r="AJ478" s="2"/>
      <c r="AK478" s="2"/>
      <c r="AL478" s="2"/>
      <c r="AM478" s="2"/>
      <c r="AN478" s="2"/>
      <c r="AO478" s="2"/>
      <c r="AP478" s="2"/>
      <c r="AQ478" s="2"/>
      <c r="AR478" s="2"/>
      <c r="AS478" s="2"/>
      <c r="AT478" s="2"/>
    </row>
    <row r="479" spans="36:46" ht="14.25" customHeight="1">
      <c r="AJ479" s="2"/>
      <c r="AK479" s="2"/>
      <c r="AL479" s="2"/>
      <c r="AM479" s="2"/>
      <c r="AN479" s="2"/>
      <c r="AO479" s="2"/>
      <c r="AP479" s="2"/>
      <c r="AQ479" s="2"/>
      <c r="AR479" s="2"/>
      <c r="AS479" s="2"/>
      <c r="AT479" s="2"/>
    </row>
    <row r="480" spans="36:46" ht="14.25" customHeight="1">
      <c r="AJ480" s="2"/>
      <c r="AK480" s="2"/>
      <c r="AL480" s="2"/>
      <c r="AM480" s="2"/>
      <c r="AN480" s="2"/>
      <c r="AO480" s="2"/>
      <c r="AP480" s="2"/>
      <c r="AQ480" s="2"/>
      <c r="AR480" s="2"/>
      <c r="AS480" s="2"/>
      <c r="AT480" s="2"/>
    </row>
    <row r="481" spans="36:46" ht="14.25" customHeight="1">
      <c r="AJ481" s="2"/>
      <c r="AK481" s="2"/>
      <c r="AL481" s="2"/>
      <c r="AM481" s="2"/>
      <c r="AN481" s="2"/>
      <c r="AO481" s="2"/>
      <c r="AP481" s="2"/>
      <c r="AQ481" s="2"/>
      <c r="AR481" s="2"/>
      <c r="AS481" s="2"/>
      <c r="AT481" s="2"/>
    </row>
    <row r="482" spans="36:46" ht="14.25" customHeight="1">
      <c r="AJ482" s="2"/>
      <c r="AK482" s="2"/>
      <c r="AL482" s="2"/>
      <c r="AM482" s="2"/>
      <c r="AN482" s="2"/>
      <c r="AO482" s="2"/>
      <c r="AP482" s="2"/>
      <c r="AQ482" s="2"/>
      <c r="AR482" s="2"/>
      <c r="AS482" s="2"/>
      <c r="AT482" s="2"/>
    </row>
    <row r="483" spans="36:46" ht="14.25" customHeight="1">
      <c r="AJ483" s="2"/>
      <c r="AK483" s="2"/>
      <c r="AL483" s="2"/>
      <c r="AM483" s="2"/>
      <c r="AN483" s="2"/>
      <c r="AO483" s="2"/>
      <c r="AP483" s="2"/>
      <c r="AQ483" s="2"/>
      <c r="AR483" s="2"/>
      <c r="AS483" s="2"/>
      <c r="AT483" s="2"/>
    </row>
    <row r="484" spans="36:46" ht="14.25" customHeight="1">
      <c r="AJ484" s="2"/>
      <c r="AK484" s="2"/>
      <c r="AL484" s="2"/>
      <c r="AM484" s="2"/>
      <c r="AN484" s="2"/>
      <c r="AO484" s="2"/>
      <c r="AP484" s="2"/>
      <c r="AQ484" s="2"/>
      <c r="AR484" s="2"/>
      <c r="AS484" s="2"/>
      <c r="AT484" s="2"/>
    </row>
    <row r="485" spans="36:46" ht="14.25" customHeight="1">
      <c r="AJ485" s="2"/>
      <c r="AK485" s="2"/>
      <c r="AL485" s="2"/>
      <c r="AM485" s="2"/>
      <c r="AN485" s="2"/>
      <c r="AO485" s="2"/>
      <c r="AP485" s="2"/>
      <c r="AQ485" s="2"/>
      <c r="AR485" s="2"/>
      <c r="AS485" s="2"/>
      <c r="AT485" s="2"/>
    </row>
    <row r="486" spans="36:46" ht="14.25" customHeight="1">
      <c r="AJ486" s="2"/>
      <c r="AK486" s="2"/>
      <c r="AL486" s="2"/>
      <c r="AM486" s="2"/>
      <c r="AN486" s="2"/>
      <c r="AO486" s="2"/>
      <c r="AP486" s="2"/>
      <c r="AQ486" s="2"/>
      <c r="AR486" s="2"/>
      <c r="AS486" s="2"/>
      <c r="AT486" s="2"/>
    </row>
    <row r="487" spans="36:46" ht="14.25" customHeight="1">
      <c r="AJ487" s="2"/>
      <c r="AK487" s="2"/>
      <c r="AL487" s="2"/>
      <c r="AM487" s="2"/>
      <c r="AN487" s="2"/>
      <c r="AO487" s="2"/>
      <c r="AP487" s="2"/>
      <c r="AQ487" s="2"/>
      <c r="AR487" s="2"/>
      <c r="AS487" s="2"/>
      <c r="AT487" s="2"/>
    </row>
    <row r="488" spans="36:46" ht="14.25" customHeight="1">
      <c r="AJ488" s="2"/>
      <c r="AK488" s="2"/>
      <c r="AL488" s="2"/>
      <c r="AM488" s="2"/>
      <c r="AN488" s="2"/>
      <c r="AO488" s="2"/>
      <c r="AP488" s="2"/>
      <c r="AQ488" s="2"/>
      <c r="AR488" s="2"/>
      <c r="AS488" s="2"/>
      <c r="AT488" s="2"/>
    </row>
    <row r="489" spans="36:46" ht="14.25" customHeight="1">
      <c r="AJ489" s="2"/>
      <c r="AK489" s="2"/>
      <c r="AL489" s="2"/>
      <c r="AM489" s="2"/>
      <c r="AN489" s="2"/>
      <c r="AO489" s="2"/>
      <c r="AP489" s="2"/>
      <c r="AQ489" s="2"/>
      <c r="AR489" s="2"/>
      <c r="AS489" s="2"/>
      <c r="AT489" s="2"/>
    </row>
    <row r="490" spans="36:46" ht="14.25" customHeight="1">
      <c r="AJ490" s="2"/>
      <c r="AK490" s="2"/>
      <c r="AL490" s="2"/>
      <c r="AM490" s="2"/>
      <c r="AN490" s="2"/>
      <c r="AO490" s="2"/>
      <c r="AP490" s="2"/>
      <c r="AQ490" s="2"/>
      <c r="AR490" s="2"/>
      <c r="AS490" s="2"/>
      <c r="AT490" s="2"/>
    </row>
    <row r="491" spans="36:46" ht="14.25" customHeight="1">
      <c r="AJ491" s="2"/>
      <c r="AK491" s="2"/>
      <c r="AL491" s="2"/>
      <c r="AM491" s="2"/>
      <c r="AN491" s="2"/>
      <c r="AO491" s="2"/>
      <c r="AP491" s="2"/>
      <c r="AQ491" s="2"/>
      <c r="AR491" s="2"/>
      <c r="AS491" s="2"/>
      <c r="AT491" s="2"/>
    </row>
    <row r="492" spans="36:46" ht="14.25" customHeight="1">
      <c r="AJ492" s="2"/>
      <c r="AK492" s="2"/>
      <c r="AL492" s="2"/>
      <c r="AM492" s="2"/>
      <c r="AN492" s="2"/>
      <c r="AO492" s="2"/>
      <c r="AP492" s="2"/>
      <c r="AQ492" s="2"/>
      <c r="AR492" s="2"/>
      <c r="AS492" s="2"/>
      <c r="AT492" s="2"/>
    </row>
    <row r="493" spans="36:46" ht="14.25" customHeight="1">
      <c r="AJ493" s="2"/>
      <c r="AK493" s="2"/>
      <c r="AL493" s="2"/>
      <c r="AM493" s="2"/>
      <c r="AN493" s="2"/>
      <c r="AO493" s="2"/>
      <c r="AP493" s="2"/>
      <c r="AQ493" s="2"/>
      <c r="AR493" s="2"/>
      <c r="AS493" s="2"/>
      <c r="AT493" s="2"/>
    </row>
    <row r="494" spans="36:46" ht="14.25" customHeight="1">
      <c r="AJ494" s="2"/>
      <c r="AK494" s="2"/>
      <c r="AL494" s="2"/>
      <c r="AM494" s="2"/>
      <c r="AN494" s="2"/>
      <c r="AO494" s="2"/>
      <c r="AP494" s="2"/>
      <c r="AQ494" s="2"/>
      <c r="AR494" s="2"/>
      <c r="AS494" s="2"/>
      <c r="AT494" s="2"/>
    </row>
    <row r="495" spans="36:46" ht="14.25" customHeight="1">
      <c r="AJ495" s="2"/>
      <c r="AK495" s="2"/>
      <c r="AL495" s="2"/>
      <c r="AM495" s="2"/>
      <c r="AN495" s="2"/>
      <c r="AO495" s="2"/>
      <c r="AP495" s="2"/>
      <c r="AQ495" s="2"/>
      <c r="AR495" s="2"/>
      <c r="AS495" s="2"/>
      <c r="AT495" s="2"/>
    </row>
    <row r="496" spans="36:46" ht="14.25" customHeight="1">
      <c r="AJ496" s="2"/>
      <c r="AK496" s="2"/>
      <c r="AL496" s="2"/>
      <c r="AM496" s="2"/>
      <c r="AN496" s="2"/>
      <c r="AO496" s="2"/>
      <c r="AP496" s="2"/>
      <c r="AQ496" s="2"/>
      <c r="AR496" s="2"/>
      <c r="AS496" s="2"/>
      <c r="AT496" s="2"/>
    </row>
    <row r="497" spans="36:46" ht="14.25" customHeight="1">
      <c r="AJ497" s="2"/>
      <c r="AK497" s="2"/>
      <c r="AL497" s="2"/>
      <c r="AM497" s="2"/>
      <c r="AN497" s="2"/>
      <c r="AO497" s="2"/>
      <c r="AP497" s="2"/>
      <c r="AQ497" s="2"/>
      <c r="AR497" s="2"/>
      <c r="AS497" s="2"/>
      <c r="AT497" s="2"/>
    </row>
    <row r="498" spans="36:46" ht="14.25" customHeight="1">
      <c r="AJ498" s="2"/>
      <c r="AK498" s="2"/>
      <c r="AL498" s="2"/>
      <c r="AM498" s="2"/>
      <c r="AN498" s="2"/>
      <c r="AO498" s="2"/>
      <c r="AP498" s="2"/>
      <c r="AQ498" s="2"/>
      <c r="AR498" s="2"/>
      <c r="AS498" s="2"/>
      <c r="AT498" s="2"/>
    </row>
    <row r="499" spans="36:46" ht="14.25" customHeight="1">
      <c r="AJ499" s="2"/>
      <c r="AK499" s="2"/>
      <c r="AL499" s="2"/>
      <c r="AM499" s="2"/>
      <c r="AN499" s="2"/>
      <c r="AO499" s="2"/>
      <c r="AP499" s="2"/>
      <c r="AQ499" s="2"/>
      <c r="AR499" s="2"/>
      <c r="AS499" s="2"/>
      <c r="AT499" s="2"/>
    </row>
    <row r="500" spans="36:46" ht="14.25" customHeight="1">
      <c r="AJ500" s="2"/>
      <c r="AK500" s="2"/>
      <c r="AL500" s="2"/>
      <c r="AM500" s="2"/>
      <c r="AN500" s="2"/>
      <c r="AO500" s="2"/>
      <c r="AP500" s="2"/>
      <c r="AQ500" s="2"/>
      <c r="AR500" s="2"/>
      <c r="AS500" s="2"/>
      <c r="AT500" s="2"/>
    </row>
    <row r="501" spans="36:46" ht="14.25" customHeight="1">
      <c r="AJ501" s="2"/>
      <c r="AK501" s="2"/>
      <c r="AL501" s="2"/>
      <c r="AM501" s="2"/>
      <c r="AN501" s="2"/>
      <c r="AO501" s="2"/>
      <c r="AP501" s="2"/>
      <c r="AQ501" s="2"/>
      <c r="AR501" s="2"/>
      <c r="AS501" s="2"/>
      <c r="AT501" s="2"/>
    </row>
    <row r="502" spans="36:46" ht="14.25" customHeight="1">
      <c r="AJ502" s="2"/>
      <c r="AK502" s="2"/>
      <c r="AL502" s="2"/>
      <c r="AM502" s="2"/>
      <c r="AN502" s="2"/>
      <c r="AO502" s="2"/>
      <c r="AP502" s="2"/>
      <c r="AQ502" s="2"/>
      <c r="AR502" s="2"/>
      <c r="AS502" s="2"/>
      <c r="AT502" s="2"/>
    </row>
    <row r="503" spans="36:46" ht="14.25" customHeight="1">
      <c r="AJ503" s="2"/>
      <c r="AK503" s="2"/>
      <c r="AL503" s="2"/>
      <c r="AM503" s="2"/>
      <c r="AN503" s="2"/>
      <c r="AO503" s="2"/>
      <c r="AP503" s="2"/>
      <c r="AQ503" s="2"/>
      <c r="AR503" s="2"/>
      <c r="AS503" s="2"/>
      <c r="AT503" s="2"/>
    </row>
    <row r="504" spans="36:46" ht="14.25" customHeight="1">
      <c r="AJ504" s="2"/>
      <c r="AK504" s="2"/>
      <c r="AL504" s="2"/>
      <c r="AM504" s="2"/>
      <c r="AN504" s="2"/>
      <c r="AO504" s="2"/>
      <c r="AP504" s="2"/>
      <c r="AQ504" s="2"/>
      <c r="AR504" s="2"/>
      <c r="AS504" s="2"/>
      <c r="AT504" s="2"/>
    </row>
    <row r="505" spans="36:46" ht="14.25" customHeight="1">
      <c r="AJ505" s="2"/>
      <c r="AK505" s="2"/>
      <c r="AL505" s="2"/>
      <c r="AM505" s="2"/>
      <c r="AN505" s="2"/>
      <c r="AO505" s="2"/>
      <c r="AP505" s="2"/>
      <c r="AQ505" s="2"/>
      <c r="AR505" s="2"/>
      <c r="AS505" s="2"/>
      <c r="AT505" s="2"/>
    </row>
    <row r="506" spans="36:46" ht="14.25" customHeight="1">
      <c r="AJ506" s="2"/>
      <c r="AK506" s="2"/>
      <c r="AL506" s="2"/>
      <c r="AM506" s="2"/>
      <c r="AN506" s="2"/>
      <c r="AO506" s="2"/>
      <c r="AP506" s="2"/>
      <c r="AQ506" s="2"/>
      <c r="AR506" s="2"/>
      <c r="AS506" s="2"/>
      <c r="AT506" s="2"/>
    </row>
    <row r="507" spans="36:46" ht="14.25" customHeight="1">
      <c r="AJ507" s="2"/>
      <c r="AK507" s="2"/>
      <c r="AL507" s="2"/>
      <c r="AM507" s="2"/>
      <c r="AN507" s="2"/>
      <c r="AO507" s="2"/>
      <c r="AP507" s="2"/>
      <c r="AQ507" s="2"/>
      <c r="AR507" s="2"/>
      <c r="AS507" s="2"/>
      <c r="AT507" s="2"/>
    </row>
    <row r="508" spans="36:46" ht="14.25" customHeight="1">
      <c r="AJ508" s="2"/>
      <c r="AK508" s="2"/>
      <c r="AL508" s="2"/>
      <c r="AM508" s="2"/>
      <c r="AN508" s="2"/>
      <c r="AO508" s="2"/>
      <c r="AP508" s="2"/>
      <c r="AQ508" s="2"/>
      <c r="AR508" s="2"/>
      <c r="AS508" s="2"/>
      <c r="AT508" s="2"/>
    </row>
    <row r="509" spans="36:46" ht="14.25" customHeight="1">
      <c r="AJ509" s="2"/>
      <c r="AK509" s="2"/>
      <c r="AL509" s="2"/>
      <c r="AM509" s="2"/>
      <c r="AN509" s="2"/>
      <c r="AO509" s="2"/>
      <c r="AP509" s="2"/>
      <c r="AQ509" s="2"/>
      <c r="AR509" s="2"/>
      <c r="AS509" s="2"/>
      <c r="AT509" s="2"/>
    </row>
    <row r="510" spans="36:46" ht="14.25" customHeight="1">
      <c r="AJ510" s="2"/>
      <c r="AK510" s="2"/>
      <c r="AL510" s="2"/>
      <c r="AM510" s="2"/>
      <c r="AN510" s="2"/>
      <c r="AO510" s="2"/>
      <c r="AP510" s="2"/>
      <c r="AQ510" s="2"/>
      <c r="AR510" s="2"/>
      <c r="AS510" s="2"/>
      <c r="AT510" s="2"/>
    </row>
    <row r="511" spans="36:46" ht="14.25" customHeight="1">
      <c r="AJ511" s="2"/>
      <c r="AK511" s="2"/>
      <c r="AL511" s="2"/>
      <c r="AM511" s="2"/>
      <c r="AN511" s="2"/>
      <c r="AO511" s="2"/>
      <c r="AP511" s="2"/>
      <c r="AQ511" s="2"/>
      <c r="AR511" s="2"/>
      <c r="AS511" s="2"/>
      <c r="AT511" s="2"/>
    </row>
    <row r="512" spans="36:46" ht="14.25" customHeight="1">
      <c r="AJ512" s="2"/>
      <c r="AK512" s="2"/>
      <c r="AL512" s="2"/>
      <c r="AM512" s="2"/>
      <c r="AN512" s="2"/>
      <c r="AO512" s="2"/>
      <c r="AP512" s="2"/>
      <c r="AQ512" s="2"/>
      <c r="AR512" s="2"/>
      <c r="AS512" s="2"/>
      <c r="AT512" s="2"/>
    </row>
    <row r="513" spans="36:46" ht="14.25" customHeight="1">
      <c r="AJ513" s="2"/>
      <c r="AK513" s="2"/>
      <c r="AL513" s="2"/>
      <c r="AM513" s="2"/>
      <c r="AN513" s="2"/>
      <c r="AO513" s="2"/>
      <c r="AP513" s="2"/>
      <c r="AQ513" s="2"/>
      <c r="AR513" s="2"/>
      <c r="AS513" s="2"/>
      <c r="AT513" s="2"/>
    </row>
    <row r="514" spans="36:46" ht="14.25" customHeight="1">
      <c r="AJ514" s="2"/>
      <c r="AK514" s="2"/>
      <c r="AL514" s="2"/>
      <c r="AM514" s="2"/>
      <c r="AN514" s="2"/>
      <c r="AO514" s="2"/>
      <c r="AP514" s="2"/>
      <c r="AQ514" s="2"/>
      <c r="AR514" s="2"/>
      <c r="AS514" s="2"/>
      <c r="AT514" s="2"/>
    </row>
    <row r="515" spans="36:46" ht="14.25" customHeight="1">
      <c r="AJ515" s="2"/>
      <c r="AK515" s="2"/>
      <c r="AL515" s="2"/>
      <c r="AM515" s="2"/>
      <c r="AN515" s="2"/>
      <c r="AO515" s="2"/>
      <c r="AP515" s="2"/>
      <c r="AQ515" s="2"/>
      <c r="AR515" s="2"/>
      <c r="AS515" s="2"/>
      <c r="AT515" s="2"/>
    </row>
    <row r="516" spans="36:46" ht="14.25" customHeight="1">
      <c r="AJ516" s="2"/>
      <c r="AK516" s="2"/>
      <c r="AL516" s="2"/>
      <c r="AM516" s="2"/>
      <c r="AN516" s="2"/>
      <c r="AO516" s="2"/>
      <c r="AP516" s="2"/>
      <c r="AQ516" s="2"/>
      <c r="AR516" s="2"/>
      <c r="AS516" s="2"/>
      <c r="AT516" s="2"/>
    </row>
    <row r="517" spans="36:46" ht="14.25" customHeight="1">
      <c r="AJ517" s="2"/>
      <c r="AK517" s="2"/>
      <c r="AL517" s="2"/>
      <c r="AM517" s="2"/>
      <c r="AN517" s="2"/>
      <c r="AO517" s="2"/>
      <c r="AP517" s="2"/>
      <c r="AQ517" s="2"/>
      <c r="AR517" s="2"/>
      <c r="AS517" s="2"/>
      <c r="AT517" s="2"/>
    </row>
    <row r="518" spans="36:46" ht="14.25" customHeight="1">
      <c r="AJ518" s="2"/>
      <c r="AK518" s="2"/>
      <c r="AL518" s="2"/>
      <c r="AM518" s="2"/>
      <c r="AN518" s="2"/>
      <c r="AO518" s="2"/>
      <c r="AP518" s="2"/>
      <c r="AQ518" s="2"/>
      <c r="AR518" s="2"/>
      <c r="AS518" s="2"/>
      <c r="AT518" s="2"/>
    </row>
    <row r="519" spans="36:46" ht="14.25" customHeight="1">
      <c r="AJ519" s="2"/>
      <c r="AK519" s="2"/>
      <c r="AL519" s="2"/>
      <c r="AM519" s="2"/>
      <c r="AN519" s="2"/>
      <c r="AO519" s="2"/>
      <c r="AP519" s="2"/>
      <c r="AQ519" s="2"/>
      <c r="AR519" s="2"/>
      <c r="AS519" s="2"/>
      <c r="AT519" s="2"/>
    </row>
    <row r="520" spans="36:46" ht="14.25" customHeight="1">
      <c r="AJ520" s="2"/>
      <c r="AK520" s="2"/>
      <c r="AL520" s="2"/>
      <c r="AM520" s="2"/>
      <c r="AN520" s="2"/>
      <c r="AO520" s="2"/>
      <c r="AP520" s="2"/>
      <c r="AQ520" s="2"/>
      <c r="AR520" s="2"/>
      <c r="AS520" s="2"/>
      <c r="AT520" s="2"/>
    </row>
    <row r="521" spans="36:46" ht="14.25" customHeight="1">
      <c r="AJ521" s="2"/>
      <c r="AK521" s="2"/>
      <c r="AL521" s="2"/>
      <c r="AM521" s="2"/>
      <c r="AN521" s="2"/>
      <c r="AO521" s="2"/>
      <c r="AP521" s="2"/>
      <c r="AQ521" s="2"/>
      <c r="AR521" s="2"/>
      <c r="AS521" s="2"/>
      <c r="AT521" s="2"/>
    </row>
    <row r="522" spans="36:46" ht="14.25" customHeight="1">
      <c r="AJ522" s="2"/>
      <c r="AK522" s="2"/>
      <c r="AL522" s="2"/>
      <c r="AM522" s="2"/>
      <c r="AN522" s="2"/>
      <c r="AO522" s="2"/>
      <c r="AP522" s="2"/>
      <c r="AQ522" s="2"/>
      <c r="AR522" s="2"/>
      <c r="AS522" s="2"/>
      <c r="AT522" s="2"/>
    </row>
    <row r="523" spans="36:46" ht="14.25" customHeight="1">
      <c r="AJ523" s="2"/>
      <c r="AK523" s="2"/>
      <c r="AL523" s="2"/>
      <c r="AM523" s="2"/>
      <c r="AN523" s="2"/>
      <c r="AO523" s="2"/>
      <c r="AP523" s="2"/>
      <c r="AQ523" s="2"/>
      <c r="AR523" s="2"/>
      <c r="AS523" s="2"/>
      <c r="AT523" s="2"/>
    </row>
    <row r="524" spans="36:46" ht="14.25" customHeight="1">
      <c r="AJ524" s="2"/>
      <c r="AK524" s="2"/>
      <c r="AL524" s="2"/>
      <c r="AM524" s="2"/>
      <c r="AN524" s="2"/>
      <c r="AO524" s="2"/>
      <c r="AP524" s="2"/>
      <c r="AQ524" s="2"/>
      <c r="AR524" s="2"/>
      <c r="AS524" s="2"/>
      <c r="AT524" s="2"/>
    </row>
    <row r="525" spans="36:46" ht="14.25" customHeight="1">
      <c r="AJ525" s="2"/>
      <c r="AK525" s="2"/>
      <c r="AL525" s="2"/>
      <c r="AM525" s="2"/>
      <c r="AN525" s="2"/>
      <c r="AO525" s="2"/>
      <c r="AP525" s="2"/>
      <c r="AQ525" s="2"/>
      <c r="AR525" s="2"/>
      <c r="AS525" s="2"/>
      <c r="AT525" s="2"/>
    </row>
    <row r="526" spans="36:46" ht="14.25" customHeight="1">
      <c r="AJ526" s="2"/>
      <c r="AK526" s="2"/>
      <c r="AL526" s="2"/>
      <c r="AM526" s="2"/>
      <c r="AN526" s="2"/>
      <c r="AO526" s="2"/>
      <c r="AP526" s="2"/>
      <c r="AQ526" s="2"/>
      <c r="AR526" s="2"/>
      <c r="AS526" s="2"/>
      <c r="AT526" s="2"/>
    </row>
    <row r="527" spans="36:46" ht="14.25" customHeight="1">
      <c r="AJ527" s="2"/>
      <c r="AK527" s="2"/>
      <c r="AL527" s="2"/>
      <c r="AM527" s="2"/>
      <c r="AN527" s="2"/>
      <c r="AO527" s="2"/>
      <c r="AP527" s="2"/>
      <c r="AQ527" s="2"/>
      <c r="AR527" s="2"/>
      <c r="AS527" s="2"/>
      <c r="AT527" s="2"/>
    </row>
    <row r="528" spans="36:46" ht="14.25" customHeight="1">
      <c r="AJ528" s="2"/>
      <c r="AK528" s="2"/>
      <c r="AL528" s="2"/>
      <c r="AM528" s="2"/>
      <c r="AN528" s="2"/>
      <c r="AO528" s="2"/>
      <c r="AP528" s="2"/>
      <c r="AQ528" s="2"/>
      <c r="AR528" s="2"/>
      <c r="AS528" s="2"/>
      <c r="AT528" s="2"/>
    </row>
    <row r="529" spans="36:46" ht="14.25" customHeight="1">
      <c r="AJ529" s="2"/>
      <c r="AK529" s="2"/>
      <c r="AL529" s="2"/>
      <c r="AM529" s="2"/>
      <c r="AN529" s="2"/>
      <c r="AO529" s="2"/>
      <c r="AP529" s="2"/>
      <c r="AQ529" s="2"/>
      <c r="AR529" s="2"/>
      <c r="AS529" s="2"/>
      <c r="AT529" s="2"/>
    </row>
    <row r="530" spans="36:46" ht="14.25" customHeight="1">
      <c r="AJ530" s="2"/>
      <c r="AK530" s="2"/>
      <c r="AL530" s="2"/>
      <c r="AM530" s="2"/>
      <c r="AN530" s="2"/>
      <c r="AO530" s="2"/>
      <c r="AP530" s="2"/>
      <c r="AQ530" s="2"/>
      <c r="AR530" s="2"/>
      <c r="AS530" s="2"/>
      <c r="AT530" s="2"/>
    </row>
    <row r="531" spans="36:46" ht="14.25" customHeight="1">
      <c r="AJ531" s="2"/>
      <c r="AK531" s="2"/>
      <c r="AL531" s="2"/>
      <c r="AM531" s="2"/>
      <c r="AN531" s="2"/>
      <c r="AO531" s="2"/>
      <c r="AP531" s="2"/>
      <c r="AQ531" s="2"/>
      <c r="AR531" s="2"/>
      <c r="AS531" s="2"/>
      <c r="AT531" s="2"/>
    </row>
    <row r="532" spans="36:46" ht="14.25" customHeight="1">
      <c r="AJ532" s="2"/>
      <c r="AK532" s="2"/>
      <c r="AL532" s="2"/>
      <c r="AM532" s="2"/>
      <c r="AN532" s="2"/>
      <c r="AO532" s="2"/>
      <c r="AP532" s="2"/>
      <c r="AQ532" s="2"/>
      <c r="AR532" s="2"/>
      <c r="AS532" s="2"/>
      <c r="AT532" s="2"/>
    </row>
    <row r="533" spans="36:46" ht="14.25" customHeight="1">
      <c r="AJ533" s="2"/>
      <c r="AK533" s="2"/>
      <c r="AL533" s="2"/>
      <c r="AM533" s="2"/>
      <c r="AN533" s="2"/>
      <c r="AO533" s="2"/>
      <c r="AP533" s="2"/>
      <c r="AQ533" s="2"/>
      <c r="AR533" s="2"/>
      <c r="AS533" s="2"/>
      <c r="AT533" s="2"/>
    </row>
    <row r="534" spans="36:46" ht="14.25" customHeight="1">
      <c r="AJ534" s="2"/>
      <c r="AK534" s="2"/>
      <c r="AL534" s="2"/>
      <c r="AM534" s="2"/>
      <c r="AN534" s="2"/>
      <c r="AO534" s="2"/>
      <c r="AP534" s="2"/>
      <c r="AQ534" s="2"/>
      <c r="AR534" s="2"/>
      <c r="AS534" s="2"/>
      <c r="AT534" s="2"/>
    </row>
    <row r="535" spans="36:46" ht="14.25" customHeight="1">
      <c r="AJ535" s="2"/>
      <c r="AK535" s="2"/>
      <c r="AL535" s="2"/>
      <c r="AM535" s="2"/>
      <c r="AN535" s="2"/>
      <c r="AO535" s="2"/>
      <c r="AP535" s="2"/>
      <c r="AQ535" s="2"/>
      <c r="AR535" s="2"/>
      <c r="AS535" s="2"/>
      <c r="AT535" s="2"/>
    </row>
    <row r="536" spans="36:46" ht="14.25" customHeight="1">
      <c r="AJ536" s="2"/>
      <c r="AK536" s="2"/>
      <c r="AL536" s="2"/>
      <c r="AM536" s="2"/>
      <c r="AN536" s="2"/>
      <c r="AO536" s="2"/>
      <c r="AP536" s="2"/>
      <c r="AQ536" s="2"/>
      <c r="AR536" s="2"/>
      <c r="AS536" s="2"/>
      <c r="AT536" s="2"/>
    </row>
    <row r="537" spans="36:46" ht="14.25" customHeight="1">
      <c r="AJ537" s="2"/>
      <c r="AK537" s="2"/>
      <c r="AL537" s="2"/>
      <c r="AM537" s="2"/>
      <c r="AN537" s="2"/>
      <c r="AO537" s="2"/>
      <c r="AP537" s="2"/>
      <c r="AQ537" s="2"/>
      <c r="AR537" s="2"/>
      <c r="AS537" s="2"/>
      <c r="AT537" s="2"/>
    </row>
    <row r="538" spans="36:46" ht="14.25" customHeight="1">
      <c r="AJ538" s="2"/>
      <c r="AK538" s="2"/>
      <c r="AL538" s="2"/>
      <c r="AM538" s="2"/>
      <c r="AN538" s="2"/>
      <c r="AO538" s="2"/>
      <c r="AP538" s="2"/>
      <c r="AQ538" s="2"/>
      <c r="AR538" s="2"/>
      <c r="AS538" s="2"/>
      <c r="AT538" s="2"/>
    </row>
    <row r="539" spans="36:46" ht="14.25" customHeight="1">
      <c r="AJ539" s="2"/>
      <c r="AK539" s="2"/>
      <c r="AL539" s="2"/>
      <c r="AM539" s="2"/>
      <c r="AN539" s="2"/>
      <c r="AO539" s="2"/>
      <c r="AP539" s="2"/>
      <c r="AQ539" s="2"/>
      <c r="AR539" s="2"/>
      <c r="AS539" s="2"/>
      <c r="AT539" s="2"/>
    </row>
    <row r="540" spans="36:46" ht="14.25" customHeight="1">
      <c r="AJ540" s="2"/>
      <c r="AK540" s="2"/>
      <c r="AL540" s="2"/>
      <c r="AM540" s="2"/>
      <c r="AN540" s="2"/>
      <c r="AO540" s="2"/>
      <c r="AP540" s="2"/>
      <c r="AQ540" s="2"/>
      <c r="AR540" s="2"/>
      <c r="AS540" s="2"/>
      <c r="AT540" s="2"/>
    </row>
    <row r="541" spans="36:46" ht="14.25" customHeight="1">
      <c r="AJ541" s="2"/>
      <c r="AK541" s="2"/>
      <c r="AL541" s="2"/>
      <c r="AM541" s="2"/>
      <c r="AN541" s="2"/>
      <c r="AO541" s="2"/>
      <c r="AP541" s="2"/>
      <c r="AQ541" s="2"/>
      <c r="AR541" s="2"/>
      <c r="AS541" s="2"/>
      <c r="AT541" s="2"/>
    </row>
    <row r="542" spans="36:46" ht="14.25" customHeight="1">
      <c r="AJ542" s="2"/>
      <c r="AK542" s="2"/>
      <c r="AL542" s="2"/>
      <c r="AM542" s="2"/>
      <c r="AN542" s="2"/>
      <c r="AO542" s="2"/>
      <c r="AP542" s="2"/>
      <c r="AQ542" s="2"/>
      <c r="AR542" s="2"/>
      <c r="AS542" s="2"/>
      <c r="AT542" s="2"/>
    </row>
    <row r="543" spans="36:46" ht="14.25" customHeight="1">
      <c r="AJ543" s="2"/>
      <c r="AK543" s="2"/>
      <c r="AL543" s="2"/>
      <c r="AM543" s="2"/>
      <c r="AN543" s="2"/>
      <c r="AO543" s="2"/>
      <c r="AP543" s="2"/>
      <c r="AQ543" s="2"/>
      <c r="AR543" s="2"/>
      <c r="AS543" s="2"/>
      <c r="AT543" s="2"/>
    </row>
    <row r="544" spans="36:46" ht="14.25" customHeight="1">
      <c r="AJ544" s="2"/>
      <c r="AK544" s="2"/>
      <c r="AL544" s="2"/>
      <c r="AM544" s="2"/>
      <c r="AN544" s="2"/>
      <c r="AO544" s="2"/>
      <c r="AP544" s="2"/>
      <c r="AQ544" s="2"/>
      <c r="AR544" s="2"/>
      <c r="AS544" s="2"/>
      <c r="AT544" s="2"/>
    </row>
    <row r="545" spans="36:46" ht="14.25" customHeight="1">
      <c r="AJ545" s="2"/>
      <c r="AK545" s="2"/>
      <c r="AL545" s="2"/>
      <c r="AM545" s="2"/>
      <c r="AN545" s="2"/>
      <c r="AO545" s="2"/>
      <c r="AP545" s="2"/>
      <c r="AQ545" s="2"/>
      <c r="AR545" s="2"/>
      <c r="AS545" s="2"/>
      <c r="AT545" s="2"/>
    </row>
    <row r="546" spans="36:46" ht="14.25" customHeight="1">
      <c r="AJ546" s="2"/>
      <c r="AK546" s="2"/>
      <c r="AL546" s="2"/>
      <c r="AM546" s="2"/>
      <c r="AN546" s="2"/>
      <c r="AO546" s="2"/>
      <c r="AP546" s="2"/>
      <c r="AQ546" s="2"/>
      <c r="AR546" s="2"/>
      <c r="AS546" s="2"/>
      <c r="AT546" s="2"/>
    </row>
    <row r="547" spans="36:46" ht="14.25" customHeight="1">
      <c r="AJ547" s="2"/>
      <c r="AK547" s="2"/>
      <c r="AL547" s="2"/>
      <c r="AM547" s="2"/>
      <c r="AN547" s="2"/>
      <c r="AO547" s="2"/>
      <c r="AP547" s="2"/>
      <c r="AQ547" s="2"/>
      <c r="AR547" s="2"/>
      <c r="AS547" s="2"/>
      <c r="AT547" s="2"/>
    </row>
    <row r="548" spans="36:46" ht="14.25" customHeight="1">
      <c r="AJ548" s="2"/>
      <c r="AK548" s="2"/>
      <c r="AL548" s="2"/>
      <c r="AM548" s="2"/>
      <c r="AN548" s="2"/>
      <c r="AO548" s="2"/>
      <c r="AP548" s="2"/>
      <c r="AQ548" s="2"/>
      <c r="AR548" s="2"/>
      <c r="AS548" s="2"/>
      <c r="AT548" s="2"/>
    </row>
    <row r="549" spans="36:46" ht="14.25" customHeight="1">
      <c r="AJ549" s="2"/>
      <c r="AK549" s="2"/>
      <c r="AL549" s="2"/>
      <c r="AM549" s="2"/>
      <c r="AN549" s="2"/>
      <c r="AO549" s="2"/>
      <c r="AP549" s="2"/>
      <c r="AQ549" s="2"/>
      <c r="AR549" s="2"/>
      <c r="AS549" s="2"/>
      <c r="AT549" s="2"/>
    </row>
    <row r="550" spans="36:46" ht="14.25" customHeight="1">
      <c r="AJ550" s="2"/>
      <c r="AK550" s="2"/>
      <c r="AL550" s="2"/>
      <c r="AM550" s="2"/>
      <c r="AN550" s="2"/>
      <c r="AO550" s="2"/>
      <c r="AP550" s="2"/>
      <c r="AQ550" s="2"/>
      <c r="AR550" s="2"/>
      <c r="AS550" s="2"/>
      <c r="AT550" s="2"/>
    </row>
    <row r="551" spans="36:46" ht="14.25" customHeight="1">
      <c r="AJ551" s="2"/>
      <c r="AK551" s="2"/>
      <c r="AL551" s="2"/>
      <c r="AM551" s="2"/>
      <c r="AN551" s="2"/>
      <c r="AO551" s="2"/>
      <c r="AP551" s="2"/>
      <c r="AQ551" s="2"/>
      <c r="AR551" s="2"/>
      <c r="AS551" s="2"/>
      <c r="AT551" s="2"/>
    </row>
    <row r="552" spans="36:46" ht="14.25" customHeight="1">
      <c r="AJ552" s="2"/>
      <c r="AK552" s="2"/>
      <c r="AL552" s="2"/>
      <c r="AM552" s="2"/>
      <c r="AN552" s="2"/>
      <c r="AO552" s="2"/>
      <c r="AP552" s="2"/>
      <c r="AQ552" s="2"/>
      <c r="AR552" s="2"/>
      <c r="AS552" s="2"/>
      <c r="AT552" s="2"/>
    </row>
    <row r="553" spans="36:46" ht="14.25" customHeight="1">
      <c r="AJ553" s="2"/>
      <c r="AK553" s="2"/>
      <c r="AL553" s="2"/>
      <c r="AM553" s="2"/>
      <c r="AN553" s="2"/>
      <c r="AO553" s="2"/>
      <c r="AP553" s="2"/>
      <c r="AQ553" s="2"/>
      <c r="AR553" s="2"/>
      <c r="AS553" s="2"/>
      <c r="AT553" s="2"/>
    </row>
    <row r="554" spans="36:46" ht="14.25" customHeight="1">
      <c r="AJ554" s="2"/>
      <c r="AK554" s="2"/>
      <c r="AL554" s="2"/>
      <c r="AM554" s="2"/>
      <c r="AN554" s="2"/>
      <c r="AO554" s="2"/>
      <c r="AP554" s="2"/>
      <c r="AQ554" s="2"/>
      <c r="AR554" s="2"/>
      <c r="AS554" s="2"/>
      <c r="AT554" s="2"/>
    </row>
    <row r="555" spans="36:46" ht="14.25" customHeight="1">
      <c r="AJ555" s="2"/>
      <c r="AK555" s="2"/>
      <c r="AL555" s="2"/>
      <c r="AM555" s="2"/>
      <c r="AN555" s="2"/>
      <c r="AO555" s="2"/>
      <c r="AP555" s="2"/>
      <c r="AQ555" s="2"/>
      <c r="AR555" s="2"/>
      <c r="AS555" s="2"/>
      <c r="AT555" s="2"/>
    </row>
    <row r="556" spans="36:46" ht="14.25" customHeight="1">
      <c r="AJ556" s="2"/>
      <c r="AK556" s="2"/>
      <c r="AL556" s="2"/>
      <c r="AM556" s="2"/>
      <c r="AN556" s="2"/>
      <c r="AO556" s="2"/>
      <c r="AP556" s="2"/>
      <c r="AQ556" s="2"/>
      <c r="AR556" s="2"/>
      <c r="AS556" s="2"/>
      <c r="AT556" s="2"/>
    </row>
    <row r="557" spans="36:46" ht="14.25" customHeight="1">
      <c r="AJ557" s="2"/>
      <c r="AK557" s="2"/>
      <c r="AL557" s="2"/>
      <c r="AM557" s="2"/>
      <c r="AN557" s="2"/>
      <c r="AO557" s="2"/>
      <c r="AP557" s="2"/>
      <c r="AQ557" s="2"/>
      <c r="AR557" s="2"/>
      <c r="AS557" s="2"/>
      <c r="AT557" s="2"/>
    </row>
    <row r="558" spans="36:46" ht="14.25" customHeight="1">
      <c r="AJ558" s="2"/>
      <c r="AK558" s="2"/>
      <c r="AL558" s="2"/>
      <c r="AM558" s="2"/>
      <c r="AN558" s="2"/>
      <c r="AO558" s="2"/>
      <c r="AP558" s="2"/>
      <c r="AQ558" s="2"/>
      <c r="AR558" s="2"/>
      <c r="AS558" s="2"/>
      <c r="AT558" s="2"/>
    </row>
    <row r="559" spans="36:46" ht="14.25" customHeight="1">
      <c r="AJ559" s="2"/>
      <c r="AK559" s="2"/>
      <c r="AL559" s="2"/>
      <c r="AM559" s="2"/>
      <c r="AN559" s="2"/>
      <c r="AO559" s="2"/>
      <c r="AP559" s="2"/>
      <c r="AQ559" s="2"/>
      <c r="AR559" s="2"/>
      <c r="AS559" s="2"/>
      <c r="AT559" s="2"/>
    </row>
    <row r="560" spans="36:46" ht="14.25" customHeight="1">
      <c r="AJ560" s="2"/>
      <c r="AK560" s="2"/>
      <c r="AL560" s="2"/>
      <c r="AM560" s="2"/>
      <c r="AN560" s="2"/>
      <c r="AO560" s="2"/>
      <c r="AP560" s="2"/>
      <c r="AQ560" s="2"/>
      <c r="AR560" s="2"/>
      <c r="AS560" s="2"/>
      <c r="AT560" s="2"/>
    </row>
    <row r="561" spans="36:46" ht="14.25" customHeight="1">
      <c r="AJ561" s="2"/>
      <c r="AK561" s="2"/>
      <c r="AL561" s="2"/>
      <c r="AM561" s="2"/>
      <c r="AN561" s="2"/>
      <c r="AO561" s="2"/>
      <c r="AP561" s="2"/>
      <c r="AQ561" s="2"/>
      <c r="AR561" s="2"/>
      <c r="AS561" s="2"/>
      <c r="AT561" s="2"/>
    </row>
    <row r="562" spans="36:46" ht="14.25" customHeight="1">
      <c r="AJ562" s="2"/>
      <c r="AK562" s="2"/>
      <c r="AL562" s="2"/>
      <c r="AM562" s="2"/>
      <c r="AN562" s="2"/>
      <c r="AO562" s="2"/>
      <c r="AP562" s="2"/>
      <c r="AQ562" s="2"/>
      <c r="AR562" s="2"/>
      <c r="AS562" s="2"/>
      <c r="AT562" s="2"/>
    </row>
    <row r="563" spans="36:46" ht="14.25" customHeight="1">
      <c r="AJ563" s="2"/>
      <c r="AK563" s="2"/>
      <c r="AL563" s="2"/>
      <c r="AM563" s="2"/>
      <c r="AN563" s="2"/>
      <c r="AO563" s="2"/>
      <c r="AP563" s="2"/>
      <c r="AQ563" s="2"/>
      <c r="AR563" s="2"/>
      <c r="AS563" s="2"/>
      <c r="AT563" s="2"/>
    </row>
    <row r="564" spans="36:46" ht="14.25" customHeight="1">
      <c r="AJ564" s="2"/>
      <c r="AK564" s="2"/>
      <c r="AL564" s="2"/>
      <c r="AM564" s="2"/>
      <c r="AN564" s="2"/>
      <c r="AO564" s="2"/>
      <c r="AP564" s="2"/>
      <c r="AQ564" s="2"/>
      <c r="AR564" s="2"/>
      <c r="AS564" s="2"/>
      <c r="AT564" s="2"/>
    </row>
    <row r="565" spans="36:46" ht="14.25" customHeight="1">
      <c r="AJ565" s="2"/>
      <c r="AK565" s="2"/>
      <c r="AL565" s="2"/>
      <c r="AM565" s="2"/>
      <c r="AN565" s="2"/>
      <c r="AO565" s="2"/>
      <c r="AP565" s="2"/>
      <c r="AQ565" s="2"/>
      <c r="AR565" s="2"/>
      <c r="AS565" s="2"/>
      <c r="AT565" s="2"/>
    </row>
    <row r="566" spans="36:46" ht="14.25" customHeight="1">
      <c r="AJ566" s="2"/>
      <c r="AK566" s="2"/>
      <c r="AL566" s="2"/>
      <c r="AM566" s="2"/>
      <c r="AN566" s="2"/>
      <c r="AO566" s="2"/>
      <c r="AP566" s="2"/>
      <c r="AQ566" s="2"/>
      <c r="AR566" s="2"/>
      <c r="AS566" s="2"/>
      <c r="AT566" s="2"/>
    </row>
    <row r="567" spans="36:46" ht="14.25" customHeight="1">
      <c r="AJ567" s="2"/>
      <c r="AK567" s="2"/>
      <c r="AL567" s="2"/>
      <c r="AM567" s="2"/>
      <c r="AN567" s="2"/>
      <c r="AO567" s="2"/>
      <c r="AP567" s="2"/>
      <c r="AQ567" s="2"/>
      <c r="AR567" s="2"/>
      <c r="AS567" s="2"/>
      <c r="AT567" s="2"/>
    </row>
    <row r="568" spans="36:46" ht="14.25" customHeight="1">
      <c r="AJ568" s="2"/>
      <c r="AK568" s="2"/>
      <c r="AL568" s="2"/>
      <c r="AM568" s="2"/>
      <c r="AN568" s="2"/>
      <c r="AO568" s="2"/>
      <c r="AP568" s="2"/>
      <c r="AQ568" s="2"/>
      <c r="AR568" s="2"/>
      <c r="AS568" s="2"/>
      <c r="AT568" s="2"/>
    </row>
    <row r="569" spans="36:46" ht="14.25" customHeight="1">
      <c r="AJ569" s="2"/>
      <c r="AK569" s="2"/>
      <c r="AL569" s="2"/>
      <c r="AM569" s="2"/>
      <c r="AN569" s="2"/>
      <c r="AO569" s="2"/>
      <c r="AP569" s="2"/>
      <c r="AQ569" s="2"/>
      <c r="AR569" s="2"/>
      <c r="AS569" s="2"/>
      <c r="AT569" s="2"/>
    </row>
    <row r="570" spans="36:46" ht="14.25" customHeight="1">
      <c r="AJ570" s="2"/>
      <c r="AK570" s="2"/>
      <c r="AL570" s="2"/>
      <c r="AM570" s="2"/>
      <c r="AN570" s="2"/>
      <c r="AO570" s="2"/>
      <c r="AP570" s="2"/>
      <c r="AQ570" s="2"/>
      <c r="AR570" s="2"/>
      <c r="AS570" s="2"/>
      <c r="AT570" s="2"/>
    </row>
    <row r="571" spans="36:46" ht="14.25" customHeight="1">
      <c r="AJ571" s="2"/>
      <c r="AK571" s="2"/>
      <c r="AL571" s="2"/>
      <c r="AM571" s="2"/>
      <c r="AN571" s="2"/>
      <c r="AO571" s="2"/>
      <c r="AP571" s="2"/>
      <c r="AQ571" s="2"/>
      <c r="AR571" s="2"/>
      <c r="AS571" s="2"/>
      <c r="AT571" s="2"/>
    </row>
    <row r="572" spans="36:46" ht="14.25" customHeight="1">
      <c r="AJ572" s="2"/>
      <c r="AK572" s="2"/>
      <c r="AL572" s="2"/>
      <c r="AM572" s="2"/>
      <c r="AN572" s="2"/>
      <c r="AO572" s="2"/>
      <c r="AP572" s="2"/>
      <c r="AQ572" s="2"/>
      <c r="AR572" s="2"/>
      <c r="AS572" s="2"/>
      <c r="AT572" s="2"/>
    </row>
    <row r="573" spans="36:46" ht="14.25" customHeight="1">
      <c r="AJ573" s="2"/>
      <c r="AK573" s="2"/>
      <c r="AL573" s="2"/>
      <c r="AM573" s="2"/>
      <c r="AN573" s="2"/>
      <c r="AO573" s="2"/>
      <c r="AP573" s="2"/>
      <c r="AQ573" s="2"/>
      <c r="AR573" s="2"/>
      <c r="AS573" s="2"/>
      <c r="AT573" s="2"/>
    </row>
    <row r="574" spans="36:46" ht="14.25" customHeight="1">
      <c r="AJ574" s="2"/>
      <c r="AK574" s="2"/>
      <c r="AL574" s="2"/>
      <c r="AM574" s="2"/>
      <c r="AN574" s="2"/>
      <c r="AO574" s="2"/>
      <c r="AP574" s="2"/>
      <c r="AQ574" s="2"/>
      <c r="AR574" s="2"/>
      <c r="AS574" s="2"/>
      <c r="AT574" s="2"/>
    </row>
    <row r="575" spans="36:46" ht="14.25" customHeight="1">
      <c r="AJ575" s="2"/>
      <c r="AK575" s="2"/>
      <c r="AL575" s="2"/>
      <c r="AM575" s="2"/>
      <c r="AN575" s="2"/>
      <c r="AO575" s="2"/>
      <c r="AP575" s="2"/>
      <c r="AQ575" s="2"/>
      <c r="AR575" s="2"/>
      <c r="AS575" s="2"/>
      <c r="AT575" s="2"/>
    </row>
    <row r="576" spans="36:46" ht="14.25" customHeight="1">
      <c r="AJ576" s="2"/>
      <c r="AK576" s="2"/>
      <c r="AL576" s="2"/>
      <c r="AM576" s="2"/>
      <c r="AN576" s="2"/>
      <c r="AO576" s="2"/>
      <c r="AP576" s="2"/>
      <c r="AQ576" s="2"/>
      <c r="AR576" s="2"/>
      <c r="AS576" s="2"/>
      <c r="AT576" s="2"/>
    </row>
    <row r="577" spans="36:46" ht="14.25" customHeight="1">
      <c r="AJ577" s="2"/>
      <c r="AK577" s="2"/>
      <c r="AL577" s="2"/>
      <c r="AM577" s="2"/>
      <c r="AN577" s="2"/>
      <c r="AO577" s="2"/>
      <c r="AP577" s="2"/>
      <c r="AQ577" s="2"/>
      <c r="AR577" s="2"/>
      <c r="AS577" s="2"/>
      <c r="AT577" s="2"/>
    </row>
    <row r="578" spans="36:46" ht="14.25" customHeight="1">
      <c r="AJ578" s="2"/>
      <c r="AK578" s="2"/>
      <c r="AL578" s="2"/>
      <c r="AM578" s="2"/>
      <c r="AN578" s="2"/>
      <c r="AO578" s="2"/>
      <c r="AP578" s="2"/>
      <c r="AQ578" s="2"/>
      <c r="AR578" s="2"/>
      <c r="AS578" s="2"/>
      <c r="AT578" s="2"/>
    </row>
    <row r="579" spans="36:46" ht="14.25" customHeight="1">
      <c r="AJ579" s="2"/>
      <c r="AK579" s="2"/>
      <c r="AL579" s="2"/>
      <c r="AM579" s="2"/>
      <c r="AN579" s="2"/>
      <c r="AO579" s="2"/>
      <c r="AP579" s="2"/>
      <c r="AQ579" s="2"/>
      <c r="AR579" s="2"/>
      <c r="AS579" s="2"/>
      <c r="AT579" s="2"/>
    </row>
    <row r="580" spans="36:46" ht="14.25" customHeight="1">
      <c r="AJ580" s="2"/>
      <c r="AK580" s="2"/>
      <c r="AL580" s="2"/>
      <c r="AM580" s="2"/>
      <c r="AN580" s="2"/>
      <c r="AO580" s="2"/>
      <c r="AP580" s="2"/>
      <c r="AQ580" s="2"/>
      <c r="AR580" s="2"/>
      <c r="AS580" s="2"/>
      <c r="AT580" s="2"/>
    </row>
    <row r="581" spans="36:46" ht="14.25" customHeight="1">
      <c r="AJ581" s="2"/>
      <c r="AK581" s="2"/>
      <c r="AL581" s="2"/>
      <c r="AM581" s="2"/>
      <c r="AN581" s="2"/>
      <c r="AO581" s="2"/>
      <c r="AP581" s="2"/>
      <c r="AQ581" s="2"/>
      <c r="AR581" s="2"/>
      <c r="AS581" s="2"/>
      <c r="AT581" s="2"/>
    </row>
    <row r="582" spans="36:46" ht="14.25" customHeight="1">
      <c r="AJ582" s="2"/>
      <c r="AK582" s="2"/>
      <c r="AL582" s="2"/>
      <c r="AM582" s="2"/>
      <c r="AN582" s="2"/>
      <c r="AO582" s="2"/>
      <c r="AP582" s="2"/>
      <c r="AQ582" s="2"/>
      <c r="AR582" s="2"/>
      <c r="AS582" s="2"/>
      <c r="AT582" s="2"/>
    </row>
    <row r="583" spans="36:46" ht="14.25" customHeight="1">
      <c r="AJ583" s="2"/>
      <c r="AK583" s="2"/>
      <c r="AL583" s="2"/>
      <c r="AM583" s="2"/>
      <c r="AN583" s="2"/>
      <c r="AO583" s="2"/>
      <c r="AP583" s="2"/>
      <c r="AQ583" s="2"/>
      <c r="AR583" s="2"/>
      <c r="AS583" s="2"/>
      <c r="AT583" s="2"/>
    </row>
    <row r="584" spans="36:46" ht="14.25" customHeight="1">
      <c r="AJ584" s="2"/>
      <c r="AK584" s="2"/>
      <c r="AL584" s="2"/>
      <c r="AM584" s="2"/>
      <c r="AN584" s="2"/>
      <c r="AO584" s="2"/>
      <c r="AP584" s="2"/>
      <c r="AQ584" s="2"/>
      <c r="AR584" s="2"/>
      <c r="AS584" s="2"/>
      <c r="AT584" s="2"/>
    </row>
    <row r="585" spans="36:46" ht="14.25" customHeight="1">
      <c r="AJ585" s="2"/>
      <c r="AK585" s="2"/>
      <c r="AL585" s="2"/>
      <c r="AM585" s="2"/>
      <c r="AN585" s="2"/>
      <c r="AO585" s="2"/>
      <c r="AP585" s="2"/>
      <c r="AQ585" s="2"/>
      <c r="AR585" s="2"/>
      <c r="AS585" s="2"/>
      <c r="AT585" s="2"/>
    </row>
    <row r="586" spans="36:46" ht="14.25" customHeight="1">
      <c r="AJ586" s="2"/>
      <c r="AK586" s="2"/>
      <c r="AL586" s="2"/>
      <c r="AM586" s="2"/>
      <c r="AN586" s="2"/>
      <c r="AO586" s="2"/>
      <c r="AP586" s="2"/>
      <c r="AQ586" s="2"/>
      <c r="AR586" s="2"/>
      <c r="AS586" s="2"/>
      <c r="AT586" s="2"/>
    </row>
    <row r="587" spans="36:46" ht="14.25" customHeight="1">
      <c r="AJ587" s="2"/>
      <c r="AK587" s="2"/>
      <c r="AL587" s="2"/>
      <c r="AM587" s="2"/>
      <c r="AN587" s="2"/>
      <c r="AO587" s="2"/>
      <c r="AP587" s="2"/>
      <c r="AQ587" s="2"/>
      <c r="AR587" s="2"/>
      <c r="AS587" s="2"/>
      <c r="AT587" s="2"/>
    </row>
    <row r="588" spans="36:46" ht="14.25" customHeight="1">
      <c r="AJ588" s="2"/>
      <c r="AK588" s="2"/>
      <c r="AL588" s="2"/>
      <c r="AM588" s="2"/>
      <c r="AN588" s="2"/>
      <c r="AO588" s="2"/>
      <c r="AP588" s="2"/>
      <c r="AQ588" s="2"/>
      <c r="AR588" s="2"/>
      <c r="AS588" s="2"/>
      <c r="AT588" s="2"/>
    </row>
    <row r="589" spans="36:46" ht="14.25" customHeight="1">
      <c r="AJ589" s="2"/>
      <c r="AK589" s="2"/>
      <c r="AL589" s="2"/>
      <c r="AM589" s="2"/>
      <c r="AN589" s="2"/>
      <c r="AO589" s="2"/>
      <c r="AP589" s="2"/>
      <c r="AQ589" s="2"/>
      <c r="AR589" s="2"/>
      <c r="AS589" s="2"/>
      <c r="AT589" s="2"/>
    </row>
    <row r="590" spans="36:46" ht="14.25" customHeight="1">
      <c r="AJ590" s="2"/>
      <c r="AK590" s="2"/>
      <c r="AL590" s="2"/>
      <c r="AM590" s="2"/>
      <c r="AN590" s="2"/>
      <c r="AO590" s="2"/>
      <c r="AP590" s="2"/>
      <c r="AQ590" s="2"/>
      <c r="AR590" s="2"/>
      <c r="AS590" s="2"/>
      <c r="AT590" s="2"/>
    </row>
    <row r="591" spans="36:46" ht="14.25" customHeight="1">
      <c r="AJ591" s="2"/>
      <c r="AK591" s="2"/>
      <c r="AL591" s="2"/>
      <c r="AM591" s="2"/>
      <c r="AN591" s="2"/>
      <c r="AO591" s="2"/>
      <c r="AP591" s="2"/>
      <c r="AQ591" s="2"/>
      <c r="AR591" s="2"/>
      <c r="AS591" s="2"/>
      <c r="AT591" s="2"/>
    </row>
    <row r="592" spans="36:46" ht="14.25" customHeight="1">
      <c r="AJ592" s="2"/>
      <c r="AK592" s="2"/>
      <c r="AL592" s="2"/>
      <c r="AM592" s="2"/>
      <c r="AN592" s="2"/>
      <c r="AO592" s="2"/>
      <c r="AP592" s="2"/>
      <c r="AQ592" s="2"/>
      <c r="AR592" s="2"/>
      <c r="AS592" s="2"/>
      <c r="AT592" s="2"/>
    </row>
    <row r="593" spans="36:46" ht="14.25" customHeight="1">
      <c r="AJ593" s="2"/>
      <c r="AK593" s="2"/>
      <c r="AL593" s="2"/>
      <c r="AM593" s="2"/>
      <c r="AN593" s="2"/>
      <c r="AO593" s="2"/>
      <c r="AP593" s="2"/>
      <c r="AQ593" s="2"/>
      <c r="AR593" s="2"/>
      <c r="AS593" s="2"/>
      <c r="AT593" s="2"/>
    </row>
    <row r="594" spans="36:46" ht="14.25" customHeight="1">
      <c r="AJ594" s="2"/>
      <c r="AK594" s="2"/>
      <c r="AL594" s="2"/>
      <c r="AM594" s="2"/>
      <c r="AN594" s="2"/>
      <c r="AO594" s="2"/>
      <c r="AP594" s="2"/>
      <c r="AQ594" s="2"/>
      <c r="AR594" s="2"/>
      <c r="AS594" s="2"/>
      <c r="AT594" s="2"/>
    </row>
    <row r="595" spans="36:46" ht="14.25" customHeight="1">
      <c r="AJ595" s="2"/>
      <c r="AK595" s="2"/>
      <c r="AL595" s="2"/>
      <c r="AM595" s="2"/>
      <c r="AN595" s="2"/>
      <c r="AO595" s="2"/>
      <c r="AP595" s="2"/>
      <c r="AQ595" s="2"/>
      <c r="AR595" s="2"/>
      <c r="AS595" s="2"/>
      <c r="AT595" s="2"/>
    </row>
    <row r="596" spans="36:46" ht="14.25" customHeight="1">
      <c r="AJ596" s="2"/>
      <c r="AK596" s="2"/>
      <c r="AL596" s="2"/>
      <c r="AM596" s="2"/>
      <c r="AN596" s="2"/>
      <c r="AO596" s="2"/>
      <c r="AP596" s="2"/>
      <c r="AQ596" s="2"/>
      <c r="AR596" s="2"/>
      <c r="AS596" s="2"/>
      <c r="AT596" s="2"/>
    </row>
    <row r="597" spans="36:46" ht="14.25" customHeight="1">
      <c r="AJ597" s="2"/>
      <c r="AK597" s="2"/>
      <c r="AL597" s="2"/>
      <c r="AM597" s="2"/>
      <c r="AN597" s="2"/>
      <c r="AO597" s="2"/>
      <c r="AP597" s="2"/>
      <c r="AQ597" s="2"/>
      <c r="AR597" s="2"/>
      <c r="AS597" s="2"/>
      <c r="AT597" s="2"/>
    </row>
    <row r="598" spans="36:46" ht="14.25" customHeight="1">
      <c r="AJ598" s="2"/>
      <c r="AK598" s="2"/>
      <c r="AL598" s="2"/>
      <c r="AM598" s="2"/>
      <c r="AN598" s="2"/>
      <c r="AO598" s="2"/>
      <c r="AP598" s="2"/>
      <c r="AQ598" s="2"/>
      <c r="AR598" s="2"/>
      <c r="AS598" s="2"/>
      <c r="AT598" s="2"/>
    </row>
    <row r="599" spans="36:46" ht="14.25" customHeight="1">
      <c r="AJ599" s="2"/>
      <c r="AK599" s="2"/>
      <c r="AL599" s="2"/>
      <c r="AM599" s="2"/>
      <c r="AN599" s="2"/>
      <c r="AO599" s="2"/>
      <c r="AP599" s="2"/>
      <c r="AQ599" s="2"/>
      <c r="AR599" s="2"/>
      <c r="AS599" s="2"/>
      <c r="AT599" s="2"/>
    </row>
    <row r="600" spans="36:46" ht="14.25" customHeight="1">
      <c r="AJ600" s="2"/>
      <c r="AK600" s="2"/>
      <c r="AL600" s="2"/>
      <c r="AM600" s="2"/>
      <c r="AN600" s="2"/>
      <c r="AO600" s="2"/>
      <c r="AP600" s="2"/>
      <c r="AQ600" s="2"/>
      <c r="AR600" s="2"/>
      <c r="AS600" s="2"/>
      <c r="AT600" s="2"/>
    </row>
    <row r="601" spans="36:46" ht="14.25" customHeight="1">
      <c r="AJ601" s="2"/>
      <c r="AK601" s="2"/>
      <c r="AL601" s="2"/>
      <c r="AM601" s="2"/>
      <c r="AN601" s="2"/>
      <c r="AO601" s="2"/>
      <c r="AP601" s="2"/>
      <c r="AQ601" s="2"/>
      <c r="AR601" s="2"/>
      <c r="AS601" s="2"/>
      <c r="AT601" s="2"/>
    </row>
    <row r="602" spans="36:46" ht="14.25" customHeight="1">
      <c r="AJ602" s="2"/>
      <c r="AK602" s="2"/>
      <c r="AL602" s="2"/>
      <c r="AM602" s="2"/>
      <c r="AN602" s="2"/>
      <c r="AO602" s="2"/>
      <c r="AP602" s="2"/>
      <c r="AQ602" s="2"/>
      <c r="AR602" s="2"/>
      <c r="AS602" s="2"/>
      <c r="AT602" s="2"/>
    </row>
    <row r="603" spans="36:46" ht="14.25" customHeight="1">
      <c r="AJ603" s="2"/>
      <c r="AK603" s="2"/>
      <c r="AL603" s="2"/>
      <c r="AM603" s="2"/>
      <c r="AN603" s="2"/>
      <c r="AO603" s="2"/>
      <c r="AP603" s="2"/>
      <c r="AQ603" s="2"/>
      <c r="AR603" s="2"/>
      <c r="AS603" s="2"/>
      <c r="AT603" s="2"/>
    </row>
    <row r="604" spans="36:46" ht="14.25" customHeight="1">
      <c r="AJ604" s="2"/>
      <c r="AK604" s="2"/>
      <c r="AL604" s="2"/>
      <c r="AM604" s="2"/>
      <c r="AN604" s="2"/>
      <c r="AO604" s="2"/>
      <c r="AP604" s="2"/>
      <c r="AQ604" s="2"/>
      <c r="AR604" s="2"/>
      <c r="AS604" s="2"/>
      <c r="AT604" s="2"/>
    </row>
    <row r="605" spans="36:46" ht="14.25" customHeight="1">
      <c r="AJ605" s="2"/>
      <c r="AK605" s="2"/>
      <c r="AL605" s="2"/>
      <c r="AM605" s="2"/>
      <c r="AN605" s="2"/>
      <c r="AO605" s="2"/>
      <c r="AP605" s="2"/>
      <c r="AQ605" s="2"/>
      <c r="AR605" s="2"/>
      <c r="AS605" s="2"/>
      <c r="AT605" s="2"/>
    </row>
    <row r="606" spans="36:46" ht="14.25" customHeight="1">
      <c r="AJ606" s="2"/>
      <c r="AK606" s="2"/>
      <c r="AL606" s="2"/>
      <c r="AM606" s="2"/>
      <c r="AN606" s="2"/>
      <c r="AO606" s="2"/>
      <c r="AP606" s="2"/>
      <c r="AQ606" s="2"/>
      <c r="AR606" s="2"/>
      <c r="AS606" s="2"/>
      <c r="AT606" s="2"/>
    </row>
    <row r="607" spans="36:46" ht="14.25" customHeight="1">
      <c r="AJ607" s="2"/>
      <c r="AK607" s="2"/>
      <c r="AL607" s="2"/>
      <c r="AM607" s="2"/>
      <c r="AN607" s="2"/>
      <c r="AO607" s="2"/>
      <c r="AP607" s="2"/>
      <c r="AQ607" s="2"/>
      <c r="AR607" s="2"/>
      <c r="AS607" s="2"/>
      <c r="AT607" s="2"/>
    </row>
    <row r="608" spans="36:46" ht="14.25" customHeight="1">
      <c r="AJ608" s="2"/>
      <c r="AK608" s="2"/>
      <c r="AL608" s="2"/>
      <c r="AM608" s="2"/>
      <c r="AN608" s="2"/>
      <c r="AO608" s="2"/>
      <c r="AP608" s="2"/>
      <c r="AQ608" s="2"/>
      <c r="AR608" s="2"/>
      <c r="AS608" s="2"/>
      <c r="AT608" s="2"/>
    </row>
    <row r="609" spans="36:46" ht="14.25" customHeight="1">
      <c r="AJ609" s="2"/>
      <c r="AK609" s="2"/>
      <c r="AL609" s="2"/>
      <c r="AM609" s="2"/>
      <c r="AN609" s="2"/>
      <c r="AO609" s="2"/>
      <c r="AP609" s="2"/>
      <c r="AQ609" s="2"/>
      <c r="AR609" s="2"/>
      <c r="AS609" s="2"/>
      <c r="AT609" s="2"/>
    </row>
    <row r="610" spans="36:46" ht="14.25" customHeight="1">
      <c r="AJ610" s="2"/>
      <c r="AK610" s="2"/>
      <c r="AL610" s="2"/>
      <c r="AM610" s="2"/>
      <c r="AN610" s="2"/>
      <c r="AO610" s="2"/>
      <c r="AP610" s="2"/>
      <c r="AQ610" s="2"/>
      <c r="AR610" s="2"/>
      <c r="AS610" s="2"/>
      <c r="AT610" s="2"/>
    </row>
    <row r="611" spans="36:46" ht="14.25" customHeight="1">
      <c r="AJ611" s="2"/>
      <c r="AK611" s="2"/>
      <c r="AL611" s="2"/>
      <c r="AM611" s="2"/>
      <c r="AN611" s="2"/>
      <c r="AO611" s="2"/>
      <c r="AP611" s="2"/>
      <c r="AQ611" s="2"/>
      <c r="AR611" s="2"/>
      <c r="AS611" s="2"/>
      <c r="AT611" s="2"/>
    </row>
    <row r="612" spans="36:46" ht="14.25" customHeight="1">
      <c r="AJ612" s="2"/>
      <c r="AK612" s="2"/>
      <c r="AL612" s="2"/>
      <c r="AM612" s="2"/>
      <c r="AN612" s="2"/>
      <c r="AO612" s="2"/>
      <c r="AP612" s="2"/>
      <c r="AQ612" s="2"/>
      <c r="AR612" s="2"/>
      <c r="AS612" s="2"/>
      <c r="AT612" s="2"/>
    </row>
    <row r="613" spans="36:46" ht="14.25" customHeight="1">
      <c r="AJ613" s="2"/>
      <c r="AK613" s="2"/>
      <c r="AL613" s="2"/>
      <c r="AM613" s="2"/>
      <c r="AN613" s="2"/>
      <c r="AO613" s="2"/>
      <c r="AP613" s="2"/>
      <c r="AQ613" s="2"/>
      <c r="AR613" s="2"/>
      <c r="AS613" s="2"/>
      <c r="AT613" s="2"/>
    </row>
    <row r="614" spans="36:46" ht="14.25" customHeight="1">
      <c r="AJ614" s="2"/>
      <c r="AK614" s="2"/>
      <c r="AL614" s="2"/>
      <c r="AM614" s="2"/>
      <c r="AN614" s="2"/>
      <c r="AO614" s="2"/>
      <c r="AP614" s="2"/>
      <c r="AQ614" s="2"/>
      <c r="AR614" s="2"/>
      <c r="AS614" s="2"/>
      <c r="AT614" s="2"/>
    </row>
    <row r="615" spans="36:46" ht="14.25" customHeight="1">
      <c r="AJ615" s="2"/>
      <c r="AK615" s="2"/>
      <c r="AL615" s="2"/>
      <c r="AM615" s="2"/>
      <c r="AN615" s="2"/>
      <c r="AO615" s="2"/>
      <c r="AP615" s="2"/>
      <c r="AQ615" s="2"/>
      <c r="AR615" s="2"/>
      <c r="AS615" s="2"/>
      <c r="AT615" s="2"/>
    </row>
    <row r="616" spans="36:46" ht="14.25" customHeight="1">
      <c r="AJ616" s="2"/>
      <c r="AK616" s="2"/>
      <c r="AL616" s="2"/>
      <c r="AM616" s="2"/>
      <c r="AN616" s="2"/>
      <c r="AO616" s="2"/>
      <c r="AP616" s="2"/>
      <c r="AQ616" s="2"/>
      <c r="AR616" s="2"/>
      <c r="AS616" s="2"/>
      <c r="AT616" s="2"/>
    </row>
    <row r="617" spans="36:46" ht="14.25" customHeight="1">
      <c r="AJ617" s="2"/>
      <c r="AK617" s="2"/>
      <c r="AL617" s="2"/>
      <c r="AM617" s="2"/>
      <c r="AN617" s="2"/>
      <c r="AO617" s="2"/>
      <c r="AP617" s="2"/>
      <c r="AQ617" s="2"/>
      <c r="AR617" s="2"/>
      <c r="AS617" s="2"/>
      <c r="AT617" s="2"/>
    </row>
    <row r="618" spans="36:46" ht="14.25" customHeight="1">
      <c r="AJ618" s="2"/>
      <c r="AK618" s="2"/>
      <c r="AL618" s="2"/>
      <c r="AM618" s="2"/>
      <c r="AN618" s="2"/>
      <c r="AO618" s="2"/>
      <c r="AP618" s="2"/>
      <c r="AQ618" s="2"/>
      <c r="AR618" s="2"/>
      <c r="AS618" s="2"/>
      <c r="AT618" s="2"/>
    </row>
    <row r="619" spans="36:46" ht="14.25" customHeight="1">
      <c r="AJ619" s="2"/>
      <c r="AK619" s="2"/>
      <c r="AL619" s="2"/>
      <c r="AM619" s="2"/>
      <c r="AN619" s="2"/>
      <c r="AO619" s="2"/>
      <c r="AP619" s="2"/>
      <c r="AQ619" s="2"/>
      <c r="AR619" s="2"/>
      <c r="AS619" s="2"/>
      <c r="AT619" s="2"/>
    </row>
    <row r="620" spans="36:46" ht="14.25" customHeight="1">
      <c r="AJ620" s="2"/>
      <c r="AK620" s="2"/>
      <c r="AL620" s="2"/>
      <c r="AM620" s="2"/>
      <c r="AN620" s="2"/>
      <c r="AO620" s="2"/>
      <c r="AP620" s="2"/>
      <c r="AQ620" s="2"/>
      <c r="AR620" s="2"/>
      <c r="AS620" s="2"/>
      <c r="AT620" s="2"/>
    </row>
    <row r="621" spans="36:46" ht="14.25" customHeight="1">
      <c r="AJ621" s="2"/>
      <c r="AK621" s="2"/>
      <c r="AL621" s="2"/>
      <c r="AM621" s="2"/>
      <c r="AN621" s="2"/>
      <c r="AO621" s="2"/>
      <c r="AP621" s="2"/>
      <c r="AQ621" s="2"/>
      <c r="AR621" s="2"/>
      <c r="AS621" s="2"/>
      <c r="AT621" s="2"/>
    </row>
    <row r="622" spans="36:46" ht="14.25" customHeight="1">
      <c r="AJ622" s="2"/>
      <c r="AK622" s="2"/>
      <c r="AL622" s="2"/>
      <c r="AM622" s="2"/>
      <c r="AN622" s="2"/>
      <c r="AO622" s="2"/>
      <c r="AP622" s="2"/>
      <c r="AQ622" s="2"/>
      <c r="AR622" s="2"/>
      <c r="AS622" s="2"/>
      <c r="AT622" s="2"/>
    </row>
    <row r="623" spans="36:46" ht="14.25" customHeight="1">
      <c r="AJ623" s="2"/>
      <c r="AK623" s="2"/>
      <c r="AL623" s="2"/>
      <c r="AM623" s="2"/>
      <c r="AN623" s="2"/>
      <c r="AO623" s="2"/>
      <c r="AP623" s="2"/>
      <c r="AQ623" s="2"/>
      <c r="AR623" s="2"/>
      <c r="AS623" s="2"/>
      <c r="AT623" s="2"/>
    </row>
    <row r="624" spans="36:46" ht="14.25" customHeight="1">
      <c r="AJ624" s="2"/>
      <c r="AK624" s="2"/>
      <c r="AL624" s="2"/>
      <c r="AM624" s="2"/>
      <c r="AN624" s="2"/>
      <c r="AO624" s="2"/>
      <c r="AP624" s="2"/>
      <c r="AQ624" s="2"/>
      <c r="AR624" s="2"/>
      <c r="AS624" s="2"/>
      <c r="AT624" s="2"/>
    </row>
    <row r="625" spans="36:46" ht="14.25" customHeight="1">
      <c r="AJ625" s="2"/>
      <c r="AK625" s="2"/>
      <c r="AL625" s="2"/>
      <c r="AM625" s="2"/>
      <c r="AN625" s="2"/>
      <c r="AO625" s="2"/>
      <c r="AP625" s="2"/>
      <c r="AQ625" s="2"/>
      <c r="AR625" s="2"/>
      <c r="AS625" s="2"/>
      <c r="AT625" s="2"/>
    </row>
    <row r="626" spans="36:46" ht="14.25" customHeight="1">
      <c r="AJ626" s="2"/>
      <c r="AK626" s="2"/>
      <c r="AL626" s="2"/>
      <c r="AM626" s="2"/>
      <c r="AN626" s="2"/>
      <c r="AO626" s="2"/>
      <c r="AP626" s="2"/>
      <c r="AQ626" s="2"/>
      <c r="AR626" s="2"/>
      <c r="AS626" s="2"/>
      <c r="AT626" s="2"/>
    </row>
    <row r="627" spans="36:46" ht="14.25" customHeight="1">
      <c r="AJ627" s="2"/>
      <c r="AK627" s="2"/>
      <c r="AL627" s="2"/>
      <c r="AM627" s="2"/>
      <c r="AN627" s="2"/>
      <c r="AO627" s="2"/>
      <c r="AP627" s="2"/>
      <c r="AQ627" s="2"/>
      <c r="AR627" s="2"/>
      <c r="AS627" s="2"/>
      <c r="AT627" s="2"/>
    </row>
    <row r="628" spans="36:46" ht="14.25" customHeight="1">
      <c r="AJ628" s="2"/>
      <c r="AK628" s="2"/>
      <c r="AL628" s="2"/>
      <c r="AM628" s="2"/>
      <c r="AN628" s="2"/>
      <c r="AO628" s="2"/>
      <c r="AP628" s="2"/>
      <c r="AQ628" s="2"/>
      <c r="AR628" s="2"/>
      <c r="AS628" s="2"/>
      <c r="AT628" s="2"/>
    </row>
    <row r="629" spans="36:46" ht="14.25" customHeight="1">
      <c r="AJ629" s="2"/>
      <c r="AK629" s="2"/>
      <c r="AL629" s="2"/>
      <c r="AM629" s="2"/>
      <c r="AN629" s="2"/>
      <c r="AO629" s="2"/>
      <c r="AP629" s="2"/>
      <c r="AQ629" s="2"/>
      <c r="AR629" s="2"/>
      <c r="AS629" s="2"/>
      <c r="AT629" s="2"/>
    </row>
    <row r="630" spans="36:46" ht="14.25" customHeight="1">
      <c r="AJ630" s="2"/>
      <c r="AK630" s="2"/>
      <c r="AL630" s="2"/>
      <c r="AM630" s="2"/>
      <c r="AN630" s="2"/>
      <c r="AO630" s="2"/>
      <c r="AP630" s="2"/>
      <c r="AQ630" s="2"/>
      <c r="AR630" s="2"/>
      <c r="AS630" s="2"/>
      <c r="AT630" s="2"/>
    </row>
    <row r="631" spans="36:46" ht="14.25" customHeight="1">
      <c r="AJ631" s="2"/>
      <c r="AK631" s="2"/>
      <c r="AL631" s="2"/>
      <c r="AM631" s="2"/>
      <c r="AN631" s="2"/>
      <c r="AO631" s="2"/>
      <c r="AP631" s="2"/>
      <c r="AQ631" s="2"/>
      <c r="AR631" s="2"/>
      <c r="AS631" s="2"/>
      <c r="AT631" s="2"/>
    </row>
    <row r="632" spans="36:46" ht="14.25" customHeight="1">
      <c r="AJ632" s="2"/>
      <c r="AK632" s="2"/>
      <c r="AL632" s="2"/>
      <c r="AM632" s="2"/>
      <c r="AN632" s="2"/>
      <c r="AO632" s="2"/>
      <c r="AP632" s="2"/>
      <c r="AQ632" s="2"/>
      <c r="AR632" s="2"/>
      <c r="AS632" s="2"/>
      <c r="AT632" s="2"/>
    </row>
    <row r="633" spans="36:46" ht="14.25" customHeight="1">
      <c r="AJ633" s="2"/>
      <c r="AK633" s="2"/>
      <c r="AL633" s="2"/>
      <c r="AM633" s="2"/>
      <c r="AN633" s="2"/>
      <c r="AO633" s="2"/>
      <c r="AP633" s="2"/>
      <c r="AQ633" s="2"/>
      <c r="AR633" s="2"/>
      <c r="AS633" s="2"/>
      <c r="AT633" s="2"/>
    </row>
    <row r="634" spans="36:46" ht="14.25" customHeight="1">
      <c r="AJ634" s="2"/>
      <c r="AK634" s="2"/>
      <c r="AL634" s="2"/>
      <c r="AM634" s="2"/>
      <c r="AN634" s="2"/>
      <c r="AO634" s="2"/>
      <c r="AP634" s="2"/>
      <c r="AQ634" s="2"/>
      <c r="AR634" s="2"/>
      <c r="AS634" s="2"/>
      <c r="AT634" s="2"/>
    </row>
    <row r="635" spans="36:46" ht="14.25" customHeight="1">
      <c r="AJ635" s="2"/>
      <c r="AK635" s="2"/>
      <c r="AL635" s="2"/>
      <c r="AM635" s="2"/>
      <c r="AN635" s="2"/>
      <c r="AO635" s="2"/>
      <c r="AP635" s="2"/>
      <c r="AQ635" s="2"/>
      <c r="AR635" s="2"/>
      <c r="AS635" s="2"/>
      <c r="AT635" s="2"/>
    </row>
    <row r="636" spans="36:46" ht="14.25" customHeight="1">
      <c r="AJ636" s="2"/>
      <c r="AK636" s="2"/>
      <c r="AL636" s="2"/>
      <c r="AM636" s="2"/>
      <c r="AN636" s="2"/>
      <c r="AO636" s="2"/>
      <c r="AP636" s="2"/>
      <c r="AQ636" s="2"/>
      <c r="AR636" s="2"/>
      <c r="AS636" s="2"/>
      <c r="AT636" s="2"/>
    </row>
    <row r="637" spans="36:46" ht="14.25" customHeight="1">
      <c r="AJ637" s="2"/>
      <c r="AK637" s="2"/>
      <c r="AL637" s="2"/>
      <c r="AM637" s="2"/>
      <c r="AN637" s="2"/>
      <c r="AO637" s="2"/>
      <c r="AP637" s="2"/>
      <c r="AQ637" s="2"/>
      <c r="AR637" s="2"/>
      <c r="AS637" s="2"/>
      <c r="AT637" s="2"/>
    </row>
    <row r="638" spans="36:46" ht="14.25" customHeight="1">
      <c r="AJ638" s="2"/>
      <c r="AK638" s="2"/>
      <c r="AL638" s="2"/>
      <c r="AM638" s="2"/>
      <c r="AN638" s="2"/>
      <c r="AO638" s="2"/>
      <c r="AP638" s="2"/>
      <c r="AQ638" s="2"/>
      <c r="AR638" s="2"/>
      <c r="AS638" s="2"/>
      <c r="AT638" s="2"/>
    </row>
    <row r="639" spans="36:46" ht="14.25" customHeight="1">
      <c r="AJ639" s="2"/>
      <c r="AK639" s="2"/>
      <c r="AL639" s="2"/>
      <c r="AM639" s="2"/>
      <c r="AN639" s="2"/>
      <c r="AO639" s="2"/>
      <c r="AP639" s="2"/>
      <c r="AQ639" s="2"/>
      <c r="AR639" s="2"/>
      <c r="AS639" s="2"/>
      <c r="AT639" s="2"/>
    </row>
    <row r="640" spans="36:46" ht="14.25" customHeight="1">
      <c r="AJ640" s="2"/>
      <c r="AK640" s="2"/>
      <c r="AL640" s="2"/>
      <c r="AM640" s="2"/>
      <c r="AN640" s="2"/>
      <c r="AO640" s="2"/>
      <c r="AP640" s="2"/>
      <c r="AQ640" s="2"/>
      <c r="AR640" s="2"/>
      <c r="AS640" s="2"/>
      <c r="AT640" s="2"/>
    </row>
    <row r="641" spans="36:46" ht="14.25" customHeight="1">
      <c r="AJ641" s="2"/>
      <c r="AK641" s="2"/>
      <c r="AL641" s="2"/>
      <c r="AM641" s="2"/>
      <c r="AN641" s="2"/>
      <c r="AO641" s="2"/>
      <c r="AP641" s="2"/>
      <c r="AQ641" s="2"/>
      <c r="AR641" s="2"/>
      <c r="AS641" s="2"/>
      <c r="AT641" s="2"/>
    </row>
    <row r="642" spans="36:46" ht="14.25" customHeight="1">
      <c r="AJ642" s="2"/>
      <c r="AK642" s="2"/>
      <c r="AL642" s="2"/>
      <c r="AM642" s="2"/>
      <c r="AN642" s="2"/>
      <c r="AO642" s="2"/>
      <c r="AP642" s="2"/>
      <c r="AQ642" s="2"/>
      <c r="AR642" s="2"/>
      <c r="AS642" s="2"/>
      <c r="AT642" s="2"/>
    </row>
    <row r="643" spans="36:46" ht="14.25" customHeight="1">
      <c r="AJ643" s="2"/>
      <c r="AK643" s="2"/>
      <c r="AL643" s="2"/>
      <c r="AM643" s="2"/>
      <c r="AN643" s="2"/>
      <c r="AO643" s="2"/>
      <c r="AP643" s="2"/>
      <c r="AQ643" s="2"/>
      <c r="AR643" s="2"/>
      <c r="AS643" s="2"/>
      <c r="AT643" s="2"/>
    </row>
    <row r="644" spans="36:46" ht="14.25" customHeight="1">
      <c r="AJ644" s="2"/>
      <c r="AK644" s="2"/>
      <c r="AL644" s="2"/>
      <c r="AM644" s="2"/>
      <c r="AN644" s="2"/>
      <c r="AO644" s="2"/>
      <c r="AP644" s="2"/>
      <c r="AQ644" s="2"/>
      <c r="AR644" s="2"/>
      <c r="AS644" s="2"/>
      <c r="AT644" s="2"/>
    </row>
    <row r="645" spans="36:46" ht="14.25" customHeight="1">
      <c r="AJ645" s="2"/>
      <c r="AK645" s="2"/>
      <c r="AL645" s="2"/>
      <c r="AM645" s="2"/>
      <c r="AN645" s="2"/>
      <c r="AO645" s="2"/>
      <c r="AP645" s="2"/>
      <c r="AQ645" s="2"/>
      <c r="AR645" s="2"/>
      <c r="AS645" s="2"/>
      <c r="AT645" s="2"/>
    </row>
    <row r="646" spans="36:46" ht="14.25" customHeight="1">
      <c r="AJ646" s="2"/>
      <c r="AK646" s="2"/>
      <c r="AL646" s="2"/>
      <c r="AM646" s="2"/>
      <c r="AN646" s="2"/>
      <c r="AO646" s="2"/>
      <c r="AP646" s="2"/>
      <c r="AQ646" s="2"/>
      <c r="AR646" s="2"/>
      <c r="AS646" s="2"/>
      <c r="AT646" s="2"/>
    </row>
    <row r="647" spans="36:46" ht="14.25" customHeight="1">
      <c r="AJ647" s="2"/>
      <c r="AK647" s="2"/>
      <c r="AL647" s="2"/>
      <c r="AM647" s="2"/>
      <c r="AN647" s="2"/>
      <c r="AO647" s="2"/>
      <c r="AP647" s="2"/>
      <c r="AQ647" s="2"/>
      <c r="AR647" s="2"/>
      <c r="AS647" s="2"/>
      <c r="AT647" s="2"/>
    </row>
    <row r="648" spans="36:46" ht="14.25" customHeight="1">
      <c r="AJ648" s="2"/>
      <c r="AK648" s="2"/>
      <c r="AL648" s="2"/>
      <c r="AM648" s="2"/>
      <c r="AN648" s="2"/>
      <c r="AO648" s="2"/>
      <c r="AP648" s="2"/>
      <c r="AQ648" s="2"/>
      <c r="AR648" s="2"/>
      <c r="AS648" s="2"/>
      <c r="AT648" s="2"/>
    </row>
    <row r="649" spans="36:46" ht="14.25" customHeight="1">
      <c r="AJ649" s="2"/>
      <c r="AK649" s="2"/>
      <c r="AL649" s="2"/>
      <c r="AM649" s="2"/>
      <c r="AN649" s="2"/>
      <c r="AO649" s="2"/>
      <c r="AP649" s="2"/>
      <c r="AQ649" s="2"/>
      <c r="AR649" s="2"/>
      <c r="AS649" s="2"/>
      <c r="AT649" s="2"/>
    </row>
    <row r="650" spans="36:46" ht="14.25" customHeight="1">
      <c r="AJ650" s="2"/>
      <c r="AK650" s="2"/>
      <c r="AL650" s="2"/>
      <c r="AM650" s="2"/>
      <c r="AN650" s="2"/>
      <c r="AO650" s="2"/>
      <c r="AP650" s="2"/>
      <c r="AQ650" s="2"/>
      <c r="AR650" s="2"/>
      <c r="AS650" s="2"/>
      <c r="AT650" s="2"/>
    </row>
    <row r="651" spans="36:46" ht="14.25" customHeight="1">
      <c r="AJ651" s="2"/>
      <c r="AK651" s="2"/>
      <c r="AL651" s="2"/>
      <c r="AM651" s="2"/>
      <c r="AN651" s="2"/>
      <c r="AO651" s="2"/>
      <c r="AP651" s="2"/>
      <c r="AQ651" s="2"/>
      <c r="AR651" s="2"/>
      <c r="AS651" s="2"/>
      <c r="AT651" s="2"/>
    </row>
    <row r="652" spans="36:46" ht="14.25" customHeight="1">
      <c r="AJ652" s="2"/>
      <c r="AK652" s="2"/>
      <c r="AL652" s="2"/>
      <c r="AM652" s="2"/>
      <c r="AN652" s="2"/>
      <c r="AO652" s="2"/>
      <c r="AP652" s="2"/>
      <c r="AQ652" s="2"/>
      <c r="AR652" s="2"/>
      <c r="AS652" s="2"/>
      <c r="AT652" s="2"/>
    </row>
    <row r="653" spans="36:46" ht="14.25" customHeight="1">
      <c r="AJ653" s="2"/>
      <c r="AK653" s="2"/>
      <c r="AL653" s="2"/>
      <c r="AM653" s="2"/>
      <c r="AN653" s="2"/>
      <c r="AO653" s="2"/>
      <c r="AP653" s="2"/>
      <c r="AQ653" s="2"/>
      <c r="AR653" s="2"/>
      <c r="AS653" s="2"/>
      <c r="AT653" s="2"/>
    </row>
    <row r="654" spans="36:46" ht="14.25" customHeight="1">
      <c r="AJ654" s="2"/>
      <c r="AK654" s="2"/>
      <c r="AL654" s="2"/>
      <c r="AM654" s="2"/>
      <c r="AN654" s="2"/>
      <c r="AO654" s="2"/>
      <c r="AP654" s="2"/>
      <c r="AQ654" s="2"/>
      <c r="AR654" s="2"/>
      <c r="AS654" s="2"/>
      <c r="AT654" s="2"/>
    </row>
    <row r="655" spans="36:46" ht="14.25" customHeight="1">
      <c r="AJ655" s="2"/>
      <c r="AK655" s="2"/>
      <c r="AL655" s="2"/>
      <c r="AM655" s="2"/>
      <c r="AN655" s="2"/>
      <c r="AO655" s="2"/>
      <c r="AP655" s="2"/>
      <c r="AQ655" s="2"/>
      <c r="AR655" s="2"/>
      <c r="AS655" s="2"/>
      <c r="AT655" s="2"/>
    </row>
    <row r="656" spans="36:46" ht="14.25" customHeight="1">
      <c r="AJ656" s="2"/>
      <c r="AK656" s="2"/>
      <c r="AL656" s="2"/>
      <c r="AM656" s="2"/>
      <c r="AN656" s="2"/>
      <c r="AO656" s="2"/>
      <c r="AP656" s="2"/>
      <c r="AQ656" s="2"/>
      <c r="AR656" s="2"/>
      <c r="AS656" s="2"/>
      <c r="AT656" s="2"/>
    </row>
    <row r="657" spans="36:46" ht="14.25" customHeight="1">
      <c r="AJ657" s="2"/>
      <c r="AK657" s="2"/>
      <c r="AL657" s="2"/>
      <c r="AM657" s="2"/>
      <c r="AN657" s="2"/>
      <c r="AO657" s="2"/>
      <c r="AP657" s="2"/>
      <c r="AQ657" s="2"/>
      <c r="AR657" s="2"/>
      <c r="AS657" s="2"/>
      <c r="AT657" s="2"/>
    </row>
    <row r="658" spans="36:46" ht="14.25" customHeight="1">
      <c r="AJ658" s="2"/>
      <c r="AK658" s="2"/>
      <c r="AL658" s="2"/>
      <c r="AM658" s="2"/>
      <c r="AN658" s="2"/>
      <c r="AO658" s="2"/>
      <c r="AP658" s="2"/>
      <c r="AQ658" s="2"/>
      <c r="AR658" s="2"/>
      <c r="AS658" s="2"/>
      <c r="AT658" s="2"/>
    </row>
    <row r="659" spans="36:46" ht="14.25" customHeight="1">
      <c r="AJ659" s="2"/>
      <c r="AK659" s="2"/>
      <c r="AL659" s="2"/>
      <c r="AM659" s="2"/>
      <c r="AN659" s="2"/>
      <c r="AO659" s="2"/>
      <c r="AP659" s="2"/>
      <c r="AQ659" s="2"/>
      <c r="AR659" s="2"/>
      <c r="AS659" s="2"/>
      <c r="AT659" s="2"/>
    </row>
    <row r="660" spans="36:46" ht="14.25" customHeight="1">
      <c r="AJ660" s="2"/>
      <c r="AK660" s="2"/>
      <c r="AL660" s="2"/>
      <c r="AM660" s="2"/>
      <c r="AN660" s="2"/>
      <c r="AO660" s="2"/>
      <c r="AP660" s="2"/>
      <c r="AQ660" s="2"/>
      <c r="AR660" s="2"/>
      <c r="AS660" s="2"/>
      <c r="AT660" s="2"/>
    </row>
    <row r="661" spans="36:46" ht="14.25" customHeight="1">
      <c r="AJ661" s="2"/>
      <c r="AK661" s="2"/>
      <c r="AL661" s="2"/>
      <c r="AM661" s="2"/>
      <c r="AN661" s="2"/>
      <c r="AO661" s="2"/>
      <c r="AP661" s="2"/>
      <c r="AQ661" s="2"/>
      <c r="AR661" s="2"/>
      <c r="AS661" s="2"/>
      <c r="AT661" s="2"/>
    </row>
    <row r="662" spans="36:46" ht="14.25" customHeight="1">
      <c r="AJ662" s="2"/>
      <c r="AK662" s="2"/>
      <c r="AL662" s="2"/>
      <c r="AM662" s="2"/>
      <c r="AN662" s="2"/>
      <c r="AO662" s="2"/>
      <c r="AP662" s="2"/>
      <c r="AQ662" s="2"/>
      <c r="AR662" s="2"/>
      <c r="AS662" s="2"/>
      <c r="AT662" s="2"/>
    </row>
    <row r="663" spans="36:46" ht="14.25" customHeight="1">
      <c r="AJ663" s="2"/>
      <c r="AK663" s="2"/>
      <c r="AL663" s="2"/>
      <c r="AM663" s="2"/>
      <c r="AN663" s="2"/>
      <c r="AO663" s="2"/>
      <c r="AP663" s="2"/>
      <c r="AQ663" s="2"/>
      <c r="AR663" s="2"/>
      <c r="AS663" s="2"/>
      <c r="AT663" s="2"/>
    </row>
    <row r="664" spans="36:46" ht="14.25" customHeight="1">
      <c r="AJ664" s="2"/>
      <c r="AK664" s="2"/>
      <c r="AL664" s="2"/>
      <c r="AM664" s="2"/>
      <c r="AN664" s="2"/>
      <c r="AO664" s="2"/>
      <c r="AP664" s="2"/>
      <c r="AQ664" s="2"/>
      <c r="AR664" s="2"/>
      <c r="AS664" s="2"/>
      <c r="AT664" s="2"/>
    </row>
    <row r="665" spans="36:46" ht="14.25" customHeight="1">
      <c r="AJ665" s="2"/>
      <c r="AK665" s="2"/>
      <c r="AL665" s="2"/>
      <c r="AM665" s="2"/>
      <c r="AN665" s="2"/>
      <c r="AO665" s="2"/>
      <c r="AP665" s="2"/>
      <c r="AQ665" s="2"/>
      <c r="AR665" s="2"/>
      <c r="AS665" s="2"/>
      <c r="AT665" s="2"/>
    </row>
    <row r="666" spans="36:46" ht="14.25" customHeight="1">
      <c r="AJ666" s="2"/>
      <c r="AK666" s="2"/>
      <c r="AL666" s="2"/>
      <c r="AM666" s="2"/>
      <c r="AN666" s="2"/>
      <c r="AO666" s="2"/>
      <c r="AP666" s="2"/>
      <c r="AQ666" s="2"/>
      <c r="AR666" s="2"/>
      <c r="AS666" s="2"/>
      <c r="AT666" s="2"/>
    </row>
    <row r="667" spans="36:46" ht="14.25" customHeight="1">
      <c r="AJ667" s="2"/>
      <c r="AK667" s="2"/>
      <c r="AL667" s="2"/>
      <c r="AM667" s="2"/>
      <c r="AN667" s="2"/>
      <c r="AO667" s="2"/>
      <c r="AP667" s="2"/>
      <c r="AQ667" s="2"/>
      <c r="AR667" s="2"/>
      <c r="AS667" s="2"/>
      <c r="AT667" s="2"/>
    </row>
    <row r="668" spans="36:46" ht="14.25" customHeight="1">
      <c r="AJ668" s="2"/>
      <c r="AK668" s="2"/>
      <c r="AL668" s="2"/>
      <c r="AM668" s="2"/>
      <c r="AN668" s="2"/>
      <c r="AO668" s="2"/>
      <c r="AP668" s="2"/>
      <c r="AQ668" s="2"/>
      <c r="AR668" s="2"/>
      <c r="AS668" s="2"/>
      <c r="AT668" s="2"/>
    </row>
    <row r="669" spans="36:46" ht="14.25" customHeight="1">
      <c r="AJ669" s="2"/>
      <c r="AK669" s="2"/>
      <c r="AL669" s="2"/>
      <c r="AM669" s="2"/>
      <c r="AN669" s="2"/>
      <c r="AO669" s="2"/>
      <c r="AP669" s="2"/>
      <c r="AQ669" s="2"/>
      <c r="AR669" s="2"/>
      <c r="AS669" s="2"/>
      <c r="AT669" s="2"/>
    </row>
    <row r="670" spans="36:46" ht="14.25" customHeight="1">
      <c r="AJ670" s="2"/>
      <c r="AK670" s="2"/>
      <c r="AL670" s="2"/>
      <c r="AM670" s="2"/>
      <c r="AN670" s="2"/>
      <c r="AO670" s="2"/>
      <c r="AP670" s="2"/>
      <c r="AQ670" s="2"/>
      <c r="AR670" s="2"/>
      <c r="AS670" s="2"/>
      <c r="AT670" s="2"/>
    </row>
    <row r="671" spans="36:46" ht="14.25" customHeight="1">
      <c r="AJ671" s="2"/>
      <c r="AK671" s="2"/>
      <c r="AL671" s="2"/>
      <c r="AM671" s="2"/>
      <c r="AN671" s="2"/>
      <c r="AO671" s="2"/>
      <c r="AP671" s="2"/>
      <c r="AQ671" s="2"/>
      <c r="AR671" s="2"/>
      <c r="AS671" s="2"/>
      <c r="AT671" s="2"/>
    </row>
    <row r="672" spans="36:46" ht="14.25" customHeight="1">
      <c r="AJ672" s="2"/>
      <c r="AK672" s="2"/>
      <c r="AL672" s="2"/>
      <c r="AM672" s="2"/>
      <c r="AN672" s="2"/>
      <c r="AO672" s="2"/>
      <c r="AP672" s="2"/>
      <c r="AQ672" s="2"/>
      <c r="AR672" s="2"/>
      <c r="AS672" s="2"/>
      <c r="AT672" s="2"/>
    </row>
    <row r="673" spans="36:46" ht="14.25" customHeight="1">
      <c r="AJ673" s="2"/>
      <c r="AK673" s="2"/>
      <c r="AL673" s="2"/>
      <c r="AM673" s="2"/>
      <c r="AN673" s="2"/>
      <c r="AO673" s="2"/>
      <c r="AP673" s="2"/>
      <c r="AQ673" s="2"/>
      <c r="AR673" s="2"/>
      <c r="AS673" s="2"/>
      <c r="AT673" s="2"/>
    </row>
    <row r="674" spans="36:46" ht="14.25" customHeight="1">
      <c r="AJ674" s="2"/>
      <c r="AK674" s="2"/>
      <c r="AL674" s="2"/>
      <c r="AM674" s="2"/>
      <c r="AN674" s="2"/>
      <c r="AO674" s="2"/>
      <c r="AP674" s="2"/>
      <c r="AQ674" s="2"/>
      <c r="AR674" s="2"/>
      <c r="AS674" s="2"/>
      <c r="AT674" s="2"/>
    </row>
    <row r="675" spans="36:46" ht="14.25" customHeight="1">
      <c r="AJ675" s="2"/>
      <c r="AK675" s="2"/>
      <c r="AL675" s="2"/>
      <c r="AM675" s="2"/>
      <c r="AN675" s="2"/>
      <c r="AO675" s="2"/>
      <c r="AP675" s="2"/>
      <c r="AQ675" s="2"/>
      <c r="AR675" s="2"/>
      <c r="AS675" s="2"/>
      <c r="AT675" s="2"/>
    </row>
    <row r="676" spans="36:46" ht="14.25" customHeight="1">
      <c r="AJ676" s="2"/>
      <c r="AK676" s="2"/>
      <c r="AL676" s="2"/>
      <c r="AM676" s="2"/>
      <c r="AN676" s="2"/>
      <c r="AO676" s="2"/>
      <c r="AP676" s="2"/>
      <c r="AQ676" s="2"/>
      <c r="AR676" s="2"/>
      <c r="AS676" s="2"/>
      <c r="AT676" s="2"/>
    </row>
    <row r="677" spans="36:46" ht="14.25" customHeight="1">
      <c r="AJ677" s="2"/>
      <c r="AK677" s="2"/>
      <c r="AL677" s="2"/>
      <c r="AM677" s="2"/>
      <c r="AN677" s="2"/>
      <c r="AO677" s="2"/>
      <c r="AP677" s="2"/>
      <c r="AQ677" s="2"/>
      <c r="AR677" s="2"/>
      <c r="AS677" s="2"/>
      <c r="AT677" s="2"/>
    </row>
    <row r="678" spans="36:46" ht="14.25" customHeight="1">
      <c r="AJ678" s="2"/>
      <c r="AK678" s="2"/>
      <c r="AL678" s="2"/>
      <c r="AM678" s="2"/>
      <c r="AN678" s="2"/>
      <c r="AO678" s="2"/>
      <c r="AP678" s="2"/>
      <c r="AQ678" s="2"/>
      <c r="AR678" s="2"/>
      <c r="AS678" s="2"/>
      <c r="AT678" s="2"/>
    </row>
    <row r="679" spans="36:46" ht="14.25" customHeight="1">
      <c r="AJ679" s="2"/>
      <c r="AK679" s="2"/>
      <c r="AL679" s="2"/>
      <c r="AM679" s="2"/>
      <c r="AN679" s="2"/>
      <c r="AO679" s="2"/>
      <c r="AP679" s="2"/>
      <c r="AQ679" s="2"/>
      <c r="AR679" s="2"/>
      <c r="AS679" s="2"/>
      <c r="AT679" s="2"/>
    </row>
    <row r="680" spans="36:46" ht="14.25" customHeight="1">
      <c r="AJ680" s="2"/>
      <c r="AK680" s="2"/>
      <c r="AL680" s="2"/>
      <c r="AM680" s="2"/>
      <c r="AN680" s="2"/>
      <c r="AO680" s="2"/>
      <c r="AP680" s="2"/>
      <c r="AQ680" s="2"/>
      <c r="AR680" s="2"/>
      <c r="AS680" s="2"/>
      <c r="AT680" s="2"/>
    </row>
    <row r="681" spans="36:46" ht="14.25" customHeight="1">
      <c r="AJ681" s="2"/>
      <c r="AK681" s="2"/>
      <c r="AL681" s="2"/>
      <c r="AM681" s="2"/>
      <c r="AN681" s="2"/>
      <c r="AO681" s="2"/>
      <c r="AP681" s="2"/>
      <c r="AQ681" s="2"/>
      <c r="AR681" s="2"/>
      <c r="AS681" s="2"/>
      <c r="AT681" s="2"/>
    </row>
    <row r="682" spans="36:46" ht="14.25" customHeight="1">
      <c r="AJ682" s="2"/>
      <c r="AK682" s="2"/>
      <c r="AL682" s="2"/>
      <c r="AM682" s="2"/>
      <c r="AN682" s="2"/>
      <c r="AO682" s="2"/>
      <c r="AP682" s="2"/>
      <c r="AQ682" s="2"/>
      <c r="AR682" s="2"/>
      <c r="AS682" s="2"/>
      <c r="AT682" s="2"/>
    </row>
    <row r="683" spans="36:46" ht="14.25" customHeight="1">
      <c r="AJ683" s="2"/>
      <c r="AK683" s="2"/>
      <c r="AL683" s="2"/>
      <c r="AM683" s="2"/>
      <c r="AN683" s="2"/>
      <c r="AO683" s="2"/>
      <c r="AP683" s="2"/>
      <c r="AQ683" s="2"/>
      <c r="AR683" s="2"/>
      <c r="AS683" s="2"/>
      <c r="AT683" s="2"/>
    </row>
    <row r="684" spans="36:46" ht="14.25" customHeight="1">
      <c r="AJ684" s="2"/>
      <c r="AK684" s="2"/>
      <c r="AL684" s="2"/>
      <c r="AM684" s="2"/>
      <c r="AN684" s="2"/>
      <c r="AO684" s="2"/>
      <c r="AP684" s="2"/>
      <c r="AQ684" s="2"/>
      <c r="AR684" s="2"/>
      <c r="AS684" s="2"/>
      <c r="AT684" s="2"/>
    </row>
    <row r="685" spans="36:46" ht="14.25" customHeight="1">
      <c r="AJ685" s="2"/>
      <c r="AK685" s="2"/>
      <c r="AL685" s="2"/>
      <c r="AM685" s="2"/>
      <c r="AN685" s="2"/>
      <c r="AO685" s="2"/>
      <c r="AP685" s="2"/>
      <c r="AQ685" s="2"/>
      <c r="AR685" s="2"/>
      <c r="AS685" s="2"/>
      <c r="AT685" s="2"/>
    </row>
    <row r="686" spans="36:46" ht="14.25" customHeight="1">
      <c r="AJ686" s="2"/>
      <c r="AK686" s="2"/>
      <c r="AL686" s="2"/>
      <c r="AM686" s="2"/>
      <c r="AN686" s="2"/>
      <c r="AO686" s="2"/>
      <c r="AP686" s="2"/>
      <c r="AQ686" s="2"/>
      <c r="AR686" s="2"/>
      <c r="AS686" s="2"/>
      <c r="AT686" s="2"/>
    </row>
    <row r="687" spans="36:46" ht="14.25" customHeight="1">
      <c r="AJ687" s="2"/>
      <c r="AK687" s="2"/>
      <c r="AL687" s="2"/>
      <c r="AM687" s="2"/>
      <c r="AN687" s="2"/>
      <c r="AO687" s="2"/>
      <c r="AP687" s="2"/>
      <c r="AQ687" s="2"/>
      <c r="AR687" s="2"/>
      <c r="AS687" s="2"/>
      <c r="AT687" s="2"/>
    </row>
    <row r="688" spans="36:46" ht="14.25" customHeight="1">
      <c r="AJ688" s="2"/>
      <c r="AK688" s="2"/>
      <c r="AL688" s="2"/>
      <c r="AM688" s="2"/>
      <c r="AN688" s="2"/>
      <c r="AO688" s="2"/>
      <c r="AP688" s="2"/>
      <c r="AQ688" s="2"/>
      <c r="AR688" s="2"/>
      <c r="AS688" s="2"/>
      <c r="AT688" s="2"/>
    </row>
    <row r="689" spans="36:46" ht="14.25" customHeight="1">
      <c r="AJ689" s="2"/>
      <c r="AK689" s="2"/>
      <c r="AL689" s="2"/>
      <c r="AM689" s="2"/>
      <c r="AN689" s="2"/>
      <c r="AO689" s="2"/>
      <c r="AP689" s="2"/>
      <c r="AQ689" s="2"/>
      <c r="AR689" s="2"/>
      <c r="AS689" s="2"/>
      <c r="AT689" s="2"/>
    </row>
    <row r="690" spans="36:46" ht="14.25" customHeight="1">
      <c r="AJ690" s="2"/>
      <c r="AK690" s="2"/>
      <c r="AL690" s="2"/>
      <c r="AM690" s="2"/>
      <c r="AN690" s="2"/>
      <c r="AO690" s="2"/>
      <c r="AP690" s="2"/>
      <c r="AQ690" s="2"/>
      <c r="AR690" s="2"/>
      <c r="AS690" s="2"/>
      <c r="AT690" s="2"/>
    </row>
    <row r="691" spans="36:46" ht="14.25" customHeight="1">
      <c r="AJ691" s="2"/>
      <c r="AK691" s="2"/>
      <c r="AL691" s="2"/>
      <c r="AM691" s="2"/>
      <c r="AN691" s="2"/>
      <c r="AO691" s="2"/>
      <c r="AP691" s="2"/>
      <c r="AQ691" s="2"/>
      <c r="AR691" s="2"/>
      <c r="AS691" s="2"/>
      <c r="AT691" s="2"/>
    </row>
    <row r="692" spans="36:46" ht="14.25" customHeight="1">
      <c r="AJ692" s="2"/>
      <c r="AK692" s="2"/>
      <c r="AL692" s="2"/>
      <c r="AM692" s="2"/>
      <c r="AN692" s="2"/>
      <c r="AO692" s="2"/>
      <c r="AP692" s="2"/>
      <c r="AQ692" s="2"/>
      <c r="AR692" s="2"/>
      <c r="AS692" s="2"/>
      <c r="AT692" s="2"/>
    </row>
    <row r="693" spans="36:46" ht="14.25" customHeight="1">
      <c r="AJ693" s="2"/>
      <c r="AK693" s="2"/>
      <c r="AL693" s="2"/>
      <c r="AM693" s="2"/>
      <c r="AN693" s="2"/>
      <c r="AO693" s="2"/>
      <c r="AP693" s="2"/>
      <c r="AQ693" s="2"/>
      <c r="AR693" s="2"/>
      <c r="AS693" s="2"/>
      <c r="AT693" s="2"/>
    </row>
    <row r="694" spans="36:46" ht="14.25" customHeight="1">
      <c r="AJ694" s="2"/>
      <c r="AK694" s="2"/>
      <c r="AL694" s="2"/>
      <c r="AM694" s="2"/>
      <c r="AN694" s="2"/>
      <c r="AO694" s="2"/>
      <c r="AP694" s="2"/>
      <c r="AQ694" s="2"/>
      <c r="AR694" s="2"/>
      <c r="AS694" s="2"/>
      <c r="AT694" s="2"/>
    </row>
    <row r="695" spans="36:46" ht="14.25" customHeight="1">
      <c r="AJ695" s="2"/>
      <c r="AK695" s="2"/>
      <c r="AL695" s="2"/>
      <c r="AM695" s="2"/>
      <c r="AN695" s="2"/>
      <c r="AO695" s="2"/>
      <c r="AP695" s="2"/>
      <c r="AQ695" s="2"/>
      <c r="AR695" s="2"/>
      <c r="AS695" s="2"/>
      <c r="AT695" s="2"/>
    </row>
    <row r="696" spans="36:46" ht="14.25" customHeight="1">
      <c r="AJ696" s="2"/>
      <c r="AK696" s="2"/>
      <c r="AL696" s="2"/>
      <c r="AM696" s="2"/>
      <c r="AN696" s="2"/>
      <c r="AO696" s="2"/>
      <c r="AP696" s="2"/>
      <c r="AQ696" s="2"/>
      <c r="AR696" s="2"/>
      <c r="AS696" s="2"/>
      <c r="AT696" s="2"/>
    </row>
    <row r="697" spans="36:46" ht="14.25" customHeight="1">
      <c r="AJ697" s="2"/>
      <c r="AK697" s="2"/>
      <c r="AL697" s="2"/>
      <c r="AM697" s="2"/>
      <c r="AN697" s="2"/>
      <c r="AO697" s="2"/>
      <c r="AP697" s="2"/>
      <c r="AQ697" s="2"/>
      <c r="AR697" s="2"/>
      <c r="AS697" s="2"/>
      <c r="AT697" s="2"/>
    </row>
    <row r="698" spans="36:46" ht="14.25" customHeight="1">
      <c r="AJ698" s="2"/>
      <c r="AK698" s="2"/>
      <c r="AL698" s="2"/>
      <c r="AM698" s="2"/>
      <c r="AN698" s="2"/>
      <c r="AO698" s="2"/>
      <c r="AP698" s="2"/>
      <c r="AQ698" s="2"/>
      <c r="AR698" s="2"/>
      <c r="AS698" s="2"/>
      <c r="AT698" s="2"/>
    </row>
    <row r="699" spans="36:46" ht="14.25" customHeight="1">
      <c r="AJ699" s="2"/>
      <c r="AK699" s="2"/>
      <c r="AL699" s="2"/>
      <c r="AM699" s="2"/>
      <c r="AN699" s="2"/>
      <c r="AO699" s="2"/>
      <c r="AP699" s="2"/>
      <c r="AQ699" s="2"/>
      <c r="AR699" s="2"/>
      <c r="AS699" s="2"/>
      <c r="AT699" s="2"/>
    </row>
    <row r="700" spans="36:46" ht="14.25" customHeight="1">
      <c r="AJ700" s="2"/>
      <c r="AK700" s="2"/>
      <c r="AL700" s="2"/>
      <c r="AM700" s="2"/>
      <c r="AN700" s="2"/>
      <c r="AO700" s="2"/>
      <c r="AP700" s="2"/>
      <c r="AQ700" s="2"/>
      <c r="AR700" s="2"/>
      <c r="AS700" s="2"/>
      <c r="AT700" s="2"/>
    </row>
    <row r="701" spans="36:46" ht="14.25" customHeight="1">
      <c r="AJ701" s="2"/>
      <c r="AK701" s="2"/>
      <c r="AL701" s="2"/>
      <c r="AM701" s="2"/>
      <c r="AN701" s="2"/>
      <c r="AO701" s="2"/>
      <c r="AP701" s="2"/>
      <c r="AQ701" s="2"/>
      <c r="AR701" s="2"/>
      <c r="AS701" s="2"/>
      <c r="AT701" s="2"/>
    </row>
    <row r="702" spans="36:46" ht="14.25" customHeight="1">
      <c r="AJ702" s="2"/>
      <c r="AK702" s="2"/>
      <c r="AL702" s="2"/>
      <c r="AM702" s="2"/>
      <c r="AN702" s="2"/>
      <c r="AO702" s="2"/>
      <c r="AP702" s="2"/>
      <c r="AQ702" s="2"/>
      <c r="AR702" s="2"/>
      <c r="AS702" s="2"/>
      <c r="AT702" s="2"/>
    </row>
    <row r="703" spans="36:46" ht="14.25" customHeight="1">
      <c r="AJ703" s="2"/>
      <c r="AK703" s="2"/>
      <c r="AL703" s="2"/>
      <c r="AM703" s="2"/>
      <c r="AN703" s="2"/>
      <c r="AO703" s="2"/>
      <c r="AP703" s="2"/>
      <c r="AQ703" s="2"/>
      <c r="AR703" s="2"/>
      <c r="AS703" s="2"/>
      <c r="AT703" s="2"/>
    </row>
    <row r="704" spans="36:46" ht="14.25" customHeight="1">
      <c r="AJ704" s="2"/>
      <c r="AK704" s="2"/>
      <c r="AL704" s="2"/>
      <c r="AM704" s="2"/>
      <c r="AN704" s="2"/>
      <c r="AO704" s="2"/>
      <c r="AP704" s="2"/>
      <c r="AQ704" s="2"/>
      <c r="AR704" s="2"/>
      <c r="AS704" s="2"/>
      <c r="AT704" s="2"/>
    </row>
    <row r="705" spans="36:46" ht="14.25" customHeight="1">
      <c r="AJ705" s="2"/>
      <c r="AK705" s="2"/>
      <c r="AL705" s="2"/>
      <c r="AM705" s="2"/>
      <c r="AN705" s="2"/>
      <c r="AO705" s="2"/>
      <c r="AP705" s="2"/>
      <c r="AQ705" s="2"/>
      <c r="AR705" s="2"/>
      <c r="AS705" s="2"/>
      <c r="AT705" s="2"/>
    </row>
    <row r="706" spans="36:46" ht="14.25" customHeight="1">
      <c r="AJ706" s="2"/>
      <c r="AK706" s="2"/>
      <c r="AL706" s="2"/>
      <c r="AM706" s="2"/>
      <c r="AN706" s="2"/>
      <c r="AO706" s="2"/>
      <c r="AP706" s="2"/>
      <c r="AQ706" s="2"/>
      <c r="AR706" s="2"/>
      <c r="AS706" s="2"/>
      <c r="AT706" s="2"/>
    </row>
    <row r="707" spans="36:46" ht="14.25" customHeight="1">
      <c r="AJ707" s="2"/>
      <c r="AK707" s="2"/>
      <c r="AL707" s="2"/>
      <c r="AM707" s="2"/>
      <c r="AN707" s="2"/>
      <c r="AO707" s="2"/>
      <c r="AP707" s="2"/>
      <c r="AQ707" s="2"/>
      <c r="AR707" s="2"/>
      <c r="AS707" s="2"/>
      <c r="AT707" s="2"/>
    </row>
    <row r="708" spans="36:46" ht="14.25" customHeight="1">
      <c r="AJ708" s="2"/>
      <c r="AK708" s="2"/>
      <c r="AL708" s="2"/>
      <c r="AM708" s="2"/>
      <c r="AN708" s="2"/>
      <c r="AO708" s="2"/>
      <c r="AP708" s="2"/>
      <c r="AQ708" s="2"/>
      <c r="AR708" s="2"/>
      <c r="AS708" s="2"/>
      <c r="AT708" s="2"/>
    </row>
    <row r="709" spans="36:46" ht="14.25" customHeight="1">
      <c r="AJ709" s="2"/>
      <c r="AK709" s="2"/>
      <c r="AL709" s="2"/>
      <c r="AM709" s="2"/>
      <c r="AN709" s="2"/>
      <c r="AO709" s="2"/>
      <c r="AP709" s="2"/>
      <c r="AQ709" s="2"/>
      <c r="AR709" s="2"/>
      <c r="AS709" s="2"/>
      <c r="AT709" s="2"/>
    </row>
    <row r="710" spans="36:46" ht="14.25" customHeight="1">
      <c r="AJ710" s="2"/>
      <c r="AK710" s="2"/>
      <c r="AL710" s="2"/>
      <c r="AM710" s="2"/>
      <c r="AN710" s="2"/>
      <c r="AO710" s="2"/>
      <c r="AP710" s="2"/>
      <c r="AQ710" s="2"/>
      <c r="AR710" s="2"/>
      <c r="AS710" s="2"/>
      <c r="AT710" s="2"/>
    </row>
    <row r="711" spans="36:46" ht="14.25" customHeight="1">
      <c r="AJ711" s="2"/>
      <c r="AK711" s="2"/>
      <c r="AL711" s="2"/>
      <c r="AM711" s="2"/>
      <c r="AN711" s="2"/>
      <c r="AO711" s="2"/>
      <c r="AP711" s="2"/>
      <c r="AQ711" s="2"/>
      <c r="AR711" s="2"/>
      <c r="AS711" s="2"/>
      <c r="AT711" s="2"/>
    </row>
    <row r="712" spans="36:46" ht="14.25" customHeight="1">
      <c r="AJ712" s="2"/>
      <c r="AK712" s="2"/>
      <c r="AL712" s="2"/>
      <c r="AM712" s="2"/>
      <c r="AN712" s="2"/>
      <c r="AO712" s="2"/>
      <c r="AP712" s="2"/>
      <c r="AQ712" s="2"/>
      <c r="AR712" s="2"/>
      <c r="AS712" s="2"/>
      <c r="AT712" s="2"/>
    </row>
    <row r="713" spans="36:46" ht="14.25" customHeight="1">
      <c r="AJ713" s="2"/>
      <c r="AK713" s="2"/>
      <c r="AL713" s="2"/>
      <c r="AM713" s="2"/>
      <c r="AN713" s="2"/>
      <c r="AO713" s="2"/>
      <c r="AP713" s="2"/>
      <c r="AQ713" s="2"/>
      <c r="AR713" s="2"/>
      <c r="AS713" s="2"/>
      <c r="AT713" s="2"/>
    </row>
    <row r="714" spans="36:46" ht="14.25" customHeight="1">
      <c r="AJ714" s="2"/>
      <c r="AK714" s="2"/>
      <c r="AL714" s="2"/>
      <c r="AM714" s="2"/>
      <c r="AN714" s="2"/>
      <c r="AO714" s="2"/>
      <c r="AP714" s="2"/>
      <c r="AQ714" s="2"/>
      <c r="AR714" s="2"/>
      <c r="AS714" s="2"/>
      <c r="AT714" s="2"/>
    </row>
    <row r="715" spans="36:46" ht="14.25" customHeight="1">
      <c r="AJ715" s="2"/>
      <c r="AK715" s="2"/>
      <c r="AL715" s="2"/>
      <c r="AM715" s="2"/>
      <c r="AN715" s="2"/>
      <c r="AO715" s="2"/>
      <c r="AP715" s="2"/>
      <c r="AQ715" s="2"/>
      <c r="AR715" s="2"/>
      <c r="AS715" s="2"/>
      <c r="AT715" s="2"/>
    </row>
    <row r="716" spans="36:46" ht="14.25" customHeight="1">
      <c r="AJ716" s="2"/>
      <c r="AK716" s="2"/>
      <c r="AL716" s="2"/>
      <c r="AM716" s="2"/>
      <c r="AN716" s="2"/>
      <c r="AO716" s="2"/>
      <c r="AP716" s="2"/>
      <c r="AQ716" s="2"/>
      <c r="AR716" s="2"/>
      <c r="AS716" s="2"/>
      <c r="AT716" s="2"/>
    </row>
    <row r="717" spans="36:46" ht="14.25" customHeight="1">
      <c r="AJ717" s="2"/>
      <c r="AK717" s="2"/>
      <c r="AL717" s="2"/>
      <c r="AM717" s="2"/>
      <c r="AN717" s="2"/>
      <c r="AO717" s="2"/>
      <c r="AP717" s="2"/>
      <c r="AQ717" s="2"/>
      <c r="AR717" s="2"/>
      <c r="AS717" s="2"/>
      <c r="AT717" s="2"/>
    </row>
    <row r="718" spans="36:46" ht="14.25" customHeight="1">
      <c r="AJ718" s="2"/>
      <c r="AK718" s="2"/>
      <c r="AL718" s="2"/>
      <c r="AM718" s="2"/>
      <c r="AN718" s="2"/>
      <c r="AO718" s="2"/>
      <c r="AP718" s="2"/>
      <c r="AQ718" s="2"/>
      <c r="AR718" s="2"/>
      <c r="AS718" s="2"/>
      <c r="AT718" s="2"/>
    </row>
    <row r="719" spans="36:46" ht="14.25" customHeight="1">
      <c r="AJ719" s="2"/>
      <c r="AK719" s="2"/>
      <c r="AL719" s="2"/>
      <c r="AM719" s="2"/>
      <c r="AN719" s="2"/>
      <c r="AO719" s="2"/>
      <c r="AP719" s="2"/>
      <c r="AQ719" s="2"/>
      <c r="AR719" s="2"/>
      <c r="AS719" s="2"/>
      <c r="AT719" s="2"/>
    </row>
    <row r="720" spans="36:46" ht="14.25" customHeight="1">
      <c r="AJ720" s="2"/>
      <c r="AK720" s="2"/>
      <c r="AL720" s="2"/>
      <c r="AM720" s="2"/>
      <c r="AN720" s="2"/>
      <c r="AO720" s="2"/>
      <c r="AP720" s="2"/>
      <c r="AQ720" s="2"/>
      <c r="AR720" s="2"/>
      <c r="AS720" s="2"/>
      <c r="AT720" s="2"/>
    </row>
    <row r="721" spans="36:46" ht="14.25" customHeight="1">
      <c r="AJ721" s="2"/>
      <c r="AK721" s="2"/>
      <c r="AL721" s="2"/>
      <c r="AM721" s="2"/>
      <c r="AN721" s="2"/>
      <c r="AO721" s="2"/>
      <c r="AP721" s="2"/>
      <c r="AQ721" s="2"/>
      <c r="AR721" s="2"/>
      <c r="AS721" s="2"/>
      <c r="AT721" s="2"/>
    </row>
    <row r="722" spans="36:46" ht="14.25" customHeight="1">
      <c r="AJ722" s="2"/>
      <c r="AK722" s="2"/>
      <c r="AL722" s="2"/>
      <c r="AM722" s="2"/>
      <c r="AN722" s="2"/>
      <c r="AO722" s="2"/>
      <c r="AP722" s="2"/>
      <c r="AQ722" s="2"/>
      <c r="AR722" s="2"/>
      <c r="AS722" s="2"/>
      <c r="AT722" s="2"/>
    </row>
    <row r="723" spans="36:46" ht="14.25" customHeight="1">
      <c r="AJ723" s="2"/>
      <c r="AK723" s="2"/>
      <c r="AL723" s="2"/>
      <c r="AM723" s="2"/>
      <c r="AN723" s="2"/>
      <c r="AO723" s="2"/>
      <c r="AP723" s="2"/>
      <c r="AQ723" s="2"/>
      <c r="AR723" s="2"/>
      <c r="AS723" s="2"/>
      <c r="AT723" s="2"/>
    </row>
    <row r="724" spans="36:46" ht="14.25" customHeight="1">
      <c r="AJ724" s="2"/>
      <c r="AK724" s="2"/>
      <c r="AL724" s="2"/>
      <c r="AM724" s="2"/>
      <c r="AN724" s="2"/>
      <c r="AO724" s="2"/>
      <c r="AP724" s="2"/>
      <c r="AQ724" s="2"/>
      <c r="AR724" s="2"/>
      <c r="AS724" s="2"/>
      <c r="AT724" s="2"/>
    </row>
    <row r="725" spans="36:46" ht="14.25" customHeight="1">
      <c r="AJ725" s="2"/>
      <c r="AK725" s="2"/>
      <c r="AL725" s="2"/>
      <c r="AM725" s="2"/>
      <c r="AN725" s="2"/>
      <c r="AO725" s="2"/>
      <c r="AP725" s="2"/>
      <c r="AQ725" s="2"/>
      <c r="AR725" s="2"/>
      <c r="AS725" s="2"/>
      <c r="AT725" s="2"/>
    </row>
    <row r="726" spans="36:46" ht="14.25" customHeight="1">
      <c r="AJ726" s="2"/>
      <c r="AK726" s="2"/>
      <c r="AL726" s="2"/>
      <c r="AM726" s="2"/>
      <c r="AN726" s="2"/>
      <c r="AO726" s="2"/>
      <c r="AP726" s="2"/>
      <c r="AQ726" s="2"/>
      <c r="AR726" s="2"/>
      <c r="AS726" s="2"/>
      <c r="AT726" s="2"/>
    </row>
    <row r="727" spans="36:46" ht="14.25" customHeight="1">
      <c r="AJ727" s="2"/>
      <c r="AK727" s="2"/>
      <c r="AL727" s="2"/>
      <c r="AM727" s="2"/>
      <c r="AN727" s="2"/>
      <c r="AO727" s="2"/>
      <c r="AP727" s="2"/>
      <c r="AQ727" s="2"/>
      <c r="AR727" s="2"/>
      <c r="AS727" s="2"/>
      <c r="AT727" s="2"/>
    </row>
    <row r="728" spans="36:46" ht="14.25" customHeight="1">
      <c r="AJ728" s="2"/>
      <c r="AK728" s="2"/>
      <c r="AL728" s="2"/>
      <c r="AM728" s="2"/>
      <c r="AN728" s="2"/>
      <c r="AO728" s="2"/>
      <c r="AP728" s="2"/>
      <c r="AQ728" s="2"/>
      <c r="AR728" s="2"/>
      <c r="AS728" s="2"/>
      <c r="AT728" s="2"/>
    </row>
    <row r="729" spans="36:46" ht="14.25" customHeight="1">
      <c r="AJ729" s="2"/>
      <c r="AK729" s="2"/>
      <c r="AL729" s="2"/>
      <c r="AM729" s="2"/>
      <c r="AN729" s="2"/>
      <c r="AO729" s="2"/>
      <c r="AP729" s="2"/>
      <c r="AQ729" s="2"/>
      <c r="AR729" s="2"/>
      <c r="AS729" s="2"/>
      <c r="AT729" s="2"/>
    </row>
    <row r="730" spans="36:46" ht="14.25" customHeight="1">
      <c r="AJ730" s="2"/>
      <c r="AK730" s="2"/>
      <c r="AL730" s="2"/>
      <c r="AM730" s="2"/>
      <c r="AN730" s="2"/>
      <c r="AO730" s="2"/>
      <c r="AP730" s="2"/>
      <c r="AQ730" s="2"/>
      <c r="AR730" s="2"/>
      <c r="AS730" s="2"/>
      <c r="AT730" s="2"/>
    </row>
    <row r="731" spans="36:46" ht="14.25" customHeight="1">
      <c r="AJ731" s="2"/>
      <c r="AK731" s="2"/>
      <c r="AL731" s="2"/>
      <c r="AM731" s="2"/>
      <c r="AN731" s="2"/>
      <c r="AO731" s="2"/>
      <c r="AP731" s="2"/>
      <c r="AQ731" s="2"/>
      <c r="AR731" s="2"/>
      <c r="AS731" s="2"/>
      <c r="AT731" s="2"/>
    </row>
    <row r="732" spans="36:46" ht="14.25" customHeight="1">
      <c r="AJ732" s="2"/>
      <c r="AK732" s="2"/>
      <c r="AL732" s="2"/>
      <c r="AM732" s="2"/>
      <c r="AN732" s="2"/>
      <c r="AO732" s="2"/>
      <c r="AP732" s="2"/>
      <c r="AQ732" s="2"/>
      <c r="AR732" s="2"/>
      <c r="AS732" s="2"/>
      <c r="AT732" s="2"/>
    </row>
    <row r="733" spans="36:46" ht="14.25" customHeight="1">
      <c r="AJ733" s="2"/>
      <c r="AK733" s="2"/>
      <c r="AL733" s="2"/>
      <c r="AM733" s="2"/>
      <c r="AN733" s="2"/>
      <c r="AO733" s="2"/>
      <c r="AP733" s="2"/>
      <c r="AQ733" s="2"/>
      <c r="AR733" s="2"/>
      <c r="AS733" s="2"/>
      <c r="AT733" s="2"/>
    </row>
    <row r="734" spans="36:46" ht="14.25" customHeight="1">
      <c r="AJ734" s="2"/>
      <c r="AK734" s="2"/>
      <c r="AL734" s="2"/>
      <c r="AM734" s="2"/>
      <c r="AN734" s="2"/>
      <c r="AO734" s="2"/>
      <c r="AP734" s="2"/>
      <c r="AQ734" s="2"/>
      <c r="AR734" s="2"/>
      <c r="AS734" s="2"/>
      <c r="AT734" s="2"/>
    </row>
    <row r="735" spans="36:46" ht="14.25" customHeight="1">
      <c r="AJ735" s="2"/>
      <c r="AK735" s="2"/>
      <c r="AL735" s="2"/>
      <c r="AM735" s="2"/>
      <c r="AN735" s="2"/>
      <c r="AO735" s="2"/>
      <c r="AP735" s="2"/>
      <c r="AQ735" s="2"/>
      <c r="AR735" s="2"/>
      <c r="AS735" s="2"/>
      <c r="AT735" s="2"/>
    </row>
    <row r="736" spans="36:46" ht="14.25" customHeight="1">
      <c r="AJ736" s="2"/>
      <c r="AK736" s="2"/>
      <c r="AL736" s="2"/>
      <c r="AM736" s="2"/>
      <c r="AN736" s="2"/>
      <c r="AO736" s="2"/>
      <c r="AP736" s="2"/>
      <c r="AQ736" s="2"/>
      <c r="AR736" s="2"/>
      <c r="AS736" s="2"/>
      <c r="AT736" s="2"/>
    </row>
    <row r="737" spans="36:46" ht="14.25" customHeight="1">
      <c r="AJ737" s="2"/>
      <c r="AK737" s="2"/>
      <c r="AL737" s="2"/>
      <c r="AM737" s="2"/>
      <c r="AN737" s="2"/>
      <c r="AO737" s="2"/>
      <c r="AP737" s="2"/>
      <c r="AQ737" s="2"/>
      <c r="AR737" s="2"/>
      <c r="AS737" s="2"/>
      <c r="AT737" s="2"/>
    </row>
    <row r="738" spans="36:46" ht="14.25" customHeight="1">
      <c r="AJ738" s="2"/>
      <c r="AK738" s="2"/>
      <c r="AL738" s="2"/>
      <c r="AM738" s="2"/>
      <c r="AN738" s="2"/>
      <c r="AO738" s="2"/>
      <c r="AP738" s="2"/>
      <c r="AQ738" s="2"/>
      <c r="AR738" s="2"/>
      <c r="AS738" s="2"/>
      <c r="AT738" s="2"/>
    </row>
    <row r="739" spans="36:46" ht="14.25" customHeight="1">
      <c r="AJ739" s="2"/>
      <c r="AK739" s="2"/>
      <c r="AL739" s="2"/>
      <c r="AM739" s="2"/>
      <c r="AN739" s="2"/>
      <c r="AO739" s="2"/>
      <c r="AP739" s="2"/>
      <c r="AQ739" s="2"/>
      <c r="AR739" s="2"/>
      <c r="AS739" s="2"/>
      <c r="AT739" s="2"/>
    </row>
    <row r="740" spans="36:46" ht="14.25" customHeight="1">
      <c r="AJ740" s="2"/>
      <c r="AK740" s="2"/>
      <c r="AL740" s="2"/>
      <c r="AM740" s="2"/>
      <c r="AN740" s="2"/>
      <c r="AO740" s="2"/>
      <c r="AP740" s="2"/>
      <c r="AQ740" s="2"/>
      <c r="AR740" s="2"/>
      <c r="AS740" s="2"/>
      <c r="AT740" s="2"/>
    </row>
    <row r="741" spans="36:46" ht="14.25" customHeight="1">
      <c r="AJ741" s="2"/>
      <c r="AK741" s="2"/>
      <c r="AL741" s="2"/>
      <c r="AM741" s="2"/>
      <c r="AN741" s="2"/>
      <c r="AO741" s="2"/>
      <c r="AP741" s="2"/>
      <c r="AQ741" s="2"/>
      <c r="AR741" s="2"/>
      <c r="AS741" s="2"/>
      <c r="AT741" s="2"/>
    </row>
    <row r="742" spans="36:46" ht="14.25" customHeight="1">
      <c r="AJ742" s="2"/>
      <c r="AK742" s="2"/>
      <c r="AL742" s="2"/>
      <c r="AM742" s="2"/>
      <c r="AN742" s="2"/>
      <c r="AO742" s="2"/>
      <c r="AP742" s="2"/>
      <c r="AQ742" s="2"/>
      <c r="AR742" s="2"/>
      <c r="AS742" s="2"/>
      <c r="AT742" s="2"/>
    </row>
    <row r="743" spans="36:46" ht="14.25" customHeight="1">
      <c r="AJ743" s="2"/>
      <c r="AK743" s="2"/>
      <c r="AL743" s="2"/>
      <c r="AM743" s="2"/>
      <c r="AN743" s="2"/>
      <c r="AO743" s="2"/>
      <c r="AP743" s="2"/>
      <c r="AQ743" s="2"/>
      <c r="AR743" s="2"/>
      <c r="AS743" s="2"/>
      <c r="AT743" s="2"/>
    </row>
    <row r="744" spans="36:46" ht="14.25" customHeight="1">
      <c r="AJ744" s="2"/>
      <c r="AK744" s="2"/>
      <c r="AL744" s="2"/>
      <c r="AM744" s="2"/>
      <c r="AN744" s="2"/>
      <c r="AO744" s="2"/>
      <c r="AP744" s="2"/>
      <c r="AQ744" s="2"/>
      <c r="AR744" s="2"/>
      <c r="AS744" s="2"/>
      <c r="AT744" s="2"/>
    </row>
    <row r="745" spans="36:46" ht="14.25" customHeight="1">
      <c r="AJ745" s="2"/>
      <c r="AK745" s="2"/>
      <c r="AL745" s="2"/>
      <c r="AM745" s="2"/>
      <c r="AN745" s="2"/>
      <c r="AO745" s="2"/>
      <c r="AP745" s="2"/>
      <c r="AQ745" s="2"/>
      <c r="AR745" s="2"/>
      <c r="AS745" s="2"/>
      <c r="AT745" s="2"/>
    </row>
    <row r="746" spans="36:46" ht="14.25" customHeight="1">
      <c r="AJ746" s="2"/>
      <c r="AK746" s="2"/>
      <c r="AL746" s="2"/>
      <c r="AM746" s="2"/>
      <c r="AN746" s="2"/>
      <c r="AO746" s="2"/>
      <c r="AP746" s="2"/>
      <c r="AQ746" s="2"/>
      <c r="AR746" s="2"/>
      <c r="AS746" s="2"/>
      <c r="AT746" s="2"/>
    </row>
    <row r="747" spans="36:46" ht="14.25" customHeight="1">
      <c r="AJ747" s="2"/>
      <c r="AK747" s="2"/>
      <c r="AL747" s="2"/>
      <c r="AM747" s="2"/>
      <c r="AN747" s="2"/>
      <c r="AO747" s="2"/>
      <c r="AP747" s="2"/>
      <c r="AQ747" s="2"/>
      <c r="AR747" s="2"/>
      <c r="AS747" s="2"/>
      <c r="AT747" s="2"/>
    </row>
    <row r="748" spans="36:46" ht="14.25" customHeight="1">
      <c r="AJ748" s="2"/>
      <c r="AK748" s="2"/>
      <c r="AL748" s="2"/>
      <c r="AM748" s="2"/>
      <c r="AN748" s="2"/>
      <c r="AO748" s="2"/>
      <c r="AP748" s="2"/>
      <c r="AQ748" s="2"/>
      <c r="AR748" s="2"/>
      <c r="AS748" s="2"/>
      <c r="AT748" s="2"/>
    </row>
    <row r="749" spans="36:46" ht="14.25" customHeight="1">
      <c r="AJ749" s="2"/>
      <c r="AK749" s="2"/>
      <c r="AL749" s="2"/>
      <c r="AM749" s="2"/>
      <c r="AN749" s="2"/>
      <c r="AO749" s="2"/>
      <c r="AP749" s="2"/>
      <c r="AQ749" s="2"/>
      <c r="AR749" s="2"/>
      <c r="AS749" s="2"/>
      <c r="AT749" s="2"/>
    </row>
    <row r="750" spans="36:46" ht="14.25" customHeight="1">
      <c r="AJ750" s="2"/>
      <c r="AK750" s="2"/>
      <c r="AL750" s="2"/>
      <c r="AM750" s="2"/>
      <c r="AN750" s="2"/>
      <c r="AO750" s="2"/>
      <c r="AP750" s="2"/>
      <c r="AQ750" s="2"/>
      <c r="AR750" s="2"/>
      <c r="AS750" s="2"/>
      <c r="AT750" s="2"/>
    </row>
    <row r="751" spans="36:46" ht="14.25" customHeight="1">
      <c r="AJ751" s="2"/>
      <c r="AK751" s="2"/>
      <c r="AL751" s="2"/>
      <c r="AM751" s="2"/>
      <c r="AN751" s="2"/>
      <c r="AO751" s="2"/>
      <c r="AP751" s="2"/>
      <c r="AQ751" s="2"/>
      <c r="AR751" s="2"/>
      <c r="AS751" s="2"/>
      <c r="AT751" s="2"/>
    </row>
    <row r="752" spans="36:46" ht="14.25" customHeight="1">
      <c r="AJ752" s="2"/>
      <c r="AK752" s="2"/>
      <c r="AL752" s="2"/>
      <c r="AM752" s="2"/>
      <c r="AN752" s="2"/>
      <c r="AO752" s="2"/>
      <c r="AP752" s="2"/>
      <c r="AQ752" s="2"/>
      <c r="AR752" s="2"/>
      <c r="AS752" s="2"/>
      <c r="AT752" s="2"/>
    </row>
    <row r="753" spans="36:46" ht="14.25" customHeight="1">
      <c r="AJ753" s="2"/>
      <c r="AK753" s="2"/>
      <c r="AL753" s="2"/>
      <c r="AM753" s="2"/>
      <c r="AN753" s="2"/>
      <c r="AO753" s="2"/>
      <c r="AP753" s="2"/>
      <c r="AQ753" s="2"/>
      <c r="AR753" s="2"/>
      <c r="AS753" s="2"/>
      <c r="AT753" s="2"/>
    </row>
    <row r="754" spans="36:46" ht="14.25" customHeight="1">
      <c r="AJ754" s="2"/>
      <c r="AK754" s="2"/>
      <c r="AL754" s="2"/>
      <c r="AM754" s="2"/>
      <c r="AN754" s="2"/>
      <c r="AO754" s="2"/>
      <c r="AP754" s="2"/>
      <c r="AQ754" s="2"/>
      <c r="AR754" s="2"/>
      <c r="AS754" s="2"/>
      <c r="AT754" s="2"/>
    </row>
    <row r="755" spans="36:46" ht="14.25" customHeight="1">
      <c r="AJ755" s="2"/>
      <c r="AK755" s="2"/>
      <c r="AL755" s="2"/>
      <c r="AM755" s="2"/>
      <c r="AN755" s="2"/>
      <c r="AO755" s="2"/>
      <c r="AP755" s="2"/>
      <c r="AQ755" s="2"/>
      <c r="AR755" s="2"/>
      <c r="AS755" s="2"/>
      <c r="AT755" s="2"/>
    </row>
    <row r="756" spans="36:46" ht="14.25" customHeight="1">
      <c r="AJ756" s="2"/>
      <c r="AK756" s="2"/>
      <c r="AL756" s="2"/>
      <c r="AM756" s="2"/>
      <c r="AN756" s="2"/>
      <c r="AO756" s="2"/>
      <c r="AP756" s="2"/>
      <c r="AQ756" s="2"/>
      <c r="AR756" s="2"/>
      <c r="AS756" s="2"/>
      <c r="AT756" s="2"/>
    </row>
    <row r="757" spans="36:46" ht="14.25" customHeight="1">
      <c r="AJ757" s="2"/>
      <c r="AK757" s="2"/>
      <c r="AL757" s="2"/>
      <c r="AM757" s="2"/>
      <c r="AN757" s="2"/>
      <c r="AO757" s="2"/>
      <c r="AP757" s="2"/>
      <c r="AQ757" s="2"/>
      <c r="AR757" s="2"/>
      <c r="AS757" s="2"/>
      <c r="AT757" s="2"/>
    </row>
    <row r="758" spans="36:46" ht="14.25" customHeight="1">
      <c r="AJ758" s="2"/>
      <c r="AK758" s="2"/>
      <c r="AL758" s="2"/>
      <c r="AM758" s="2"/>
      <c r="AN758" s="2"/>
      <c r="AO758" s="2"/>
      <c r="AP758" s="2"/>
      <c r="AQ758" s="2"/>
      <c r="AR758" s="2"/>
      <c r="AS758" s="2"/>
      <c r="AT758" s="2"/>
    </row>
    <row r="759" spans="36:46" ht="14.25" customHeight="1">
      <c r="AJ759" s="2"/>
      <c r="AK759" s="2"/>
      <c r="AL759" s="2"/>
      <c r="AM759" s="2"/>
      <c r="AN759" s="2"/>
      <c r="AO759" s="2"/>
      <c r="AP759" s="2"/>
      <c r="AQ759" s="2"/>
      <c r="AR759" s="2"/>
      <c r="AS759" s="2"/>
      <c r="AT759" s="2"/>
    </row>
    <row r="760" spans="36:46" ht="14.25" customHeight="1">
      <c r="AJ760" s="2"/>
      <c r="AK760" s="2"/>
      <c r="AL760" s="2"/>
      <c r="AM760" s="2"/>
      <c r="AN760" s="2"/>
      <c r="AO760" s="2"/>
      <c r="AP760" s="2"/>
      <c r="AQ760" s="2"/>
      <c r="AR760" s="2"/>
      <c r="AS760" s="2"/>
      <c r="AT760" s="2"/>
    </row>
    <row r="761" spans="36:46" ht="14.25" customHeight="1">
      <c r="AJ761" s="2"/>
      <c r="AK761" s="2"/>
      <c r="AL761" s="2"/>
      <c r="AM761" s="2"/>
      <c r="AN761" s="2"/>
      <c r="AO761" s="2"/>
      <c r="AP761" s="2"/>
      <c r="AQ761" s="2"/>
      <c r="AR761" s="2"/>
      <c r="AS761" s="2"/>
      <c r="AT761" s="2"/>
    </row>
    <row r="762" spans="36:46" ht="14.25" customHeight="1">
      <c r="AJ762" s="2"/>
      <c r="AK762" s="2"/>
      <c r="AL762" s="2"/>
      <c r="AM762" s="2"/>
      <c r="AN762" s="2"/>
      <c r="AO762" s="2"/>
      <c r="AP762" s="2"/>
      <c r="AQ762" s="2"/>
      <c r="AR762" s="2"/>
      <c r="AS762" s="2"/>
      <c r="AT762" s="2"/>
    </row>
    <row r="763" spans="36:46" ht="14.25" customHeight="1">
      <c r="AJ763" s="2"/>
      <c r="AK763" s="2"/>
      <c r="AL763" s="2"/>
      <c r="AM763" s="2"/>
      <c r="AN763" s="2"/>
      <c r="AO763" s="2"/>
      <c r="AP763" s="2"/>
      <c r="AQ763" s="2"/>
      <c r="AR763" s="2"/>
      <c r="AS763" s="2"/>
      <c r="AT763" s="2"/>
    </row>
    <row r="764" spans="36:46" ht="14.25" customHeight="1">
      <c r="AJ764" s="2"/>
      <c r="AK764" s="2"/>
      <c r="AL764" s="2"/>
      <c r="AM764" s="2"/>
      <c r="AN764" s="2"/>
      <c r="AO764" s="2"/>
      <c r="AP764" s="2"/>
      <c r="AQ764" s="2"/>
      <c r="AR764" s="2"/>
      <c r="AS764" s="2"/>
      <c r="AT764" s="2"/>
    </row>
    <row r="765" spans="36:46" ht="14.25" customHeight="1">
      <c r="AJ765" s="2"/>
      <c r="AK765" s="2"/>
      <c r="AL765" s="2"/>
      <c r="AM765" s="2"/>
      <c r="AN765" s="2"/>
      <c r="AO765" s="2"/>
      <c r="AP765" s="2"/>
      <c r="AQ765" s="2"/>
      <c r="AR765" s="2"/>
      <c r="AS765" s="2"/>
      <c r="AT765" s="2"/>
    </row>
    <row r="766" spans="36:46" ht="14.25" customHeight="1">
      <c r="AJ766" s="2"/>
      <c r="AK766" s="2"/>
      <c r="AL766" s="2"/>
      <c r="AM766" s="2"/>
      <c r="AN766" s="2"/>
      <c r="AO766" s="2"/>
      <c r="AP766" s="2"/>
      <c r="AQ766" s="2"/>
      <c r="AR766" s="2"/>
      <c r="AS766" s="2"/>
      <c r="AT766" s="2"/>
    </row>
    <row r="767" spans="36:46" ht="14.25" customHeight="1">
      <c r="AJ767" s="2"/>
      <c r="AK767" s="2"/>
      <c r="AL767" s="2"/>
      <c r="AM767" s="2"/>
      <c r="AN767" s="2"/>
      <c r="AO767" s="2"/>
      <c r="AP767" s="2"/>
      <c r="AQ767" s="2"/>
      <c r="AR767" s="2"/>
      <c r="AS767" s="2"/>
      <c r="AT767" s="2"/>
    </row>
    <row r="768" spans="36:46" ht="14.25" customHeight="1">
      <c r="AJ768" s="2"/>
      <c r="AK768" s="2"/>
      <c r="AL768" s="2"/>
      <c r="AM768" s="2"/>
      <c r="AN768" s="2"/>
      <c r="AO768" s="2"/>
      <c r="AP768" s="2"/>
      <c r="AQ768" s="2"/>
      <c r="AR768" s="2"/>
      <c r="AS768" s="2"/>
      <c r="AT768" s="2"/>
    </row>
    <row r="769" spans="36:46" ht="14.25" customHeight="1">
      <c r="AJ769" s="2"/>
      <c r="AK769" s="2"/>
      <c r="AL769" s="2"/>
      <c r="AM769" s="2"/>
      <c r="AN769" s="2"/>
      <c r="AO769" s="2"/>
      <c r="AP769" s="2"/>
      <c r="AQ769" s="2"/>
      <c r="AR769" s="2"/>
      <c r="AS769" s="2"/>
      <c r="AT769" s="2"/>
    </row>
    <row r="770" spans="36:46" ht="14.25" customHeight="1">
      <c r="AJ770" s="2"/>
      <c r="AK770" s="2"/>
      <c r="AL770" s="2"/>
      <c r="AM770" s="2"/>
      <c r="AN770" s="2"/>
      <c r="AO770" s="2"/>
      <c r="AP770" s="2"/>
      <c r="AQ770" s="2"/>
      <c r="AR770" s="2"/>
      <c r="AS770" s="2"/>
      <c r="AT770" s="2"/>
    </row>
    <row r="771" spans="36:46" ht="14.25" customHeight="1">
      <c r="AJ771" s="2"/>
      <c r="AK771" s="2"/>
      <c r="AL771" s="2"/>
      <c r="AM771" s="2"/>
      <c r="AN771" s="2"/>
      <c r="AO771" s="2"/>
      <c r="AP771" s="2"/>
      <c r="AQ771" s="2"/>
      <c r="AR771" s="2"/>
      <c r="AS771" s="2"/>
      <c r="AT771" s="2"/>
    </row>
    <row r="772" spans="36:46" ht="14.25" customHeight="1">
      <c r="AJ772" s="2"/>
      <c r="AK772" s="2"/>
      <c r="AL772" s="2"/>
      <c r="AM772" s="2"/>
      <c r="AN772" s="2"/>
      <c r="AO772" s="2"/>
      <c r="AP772" s="2"/>
      <c r="AQ772" s="2"/>
      <c r="AR772" s="2"/>
      <c r="AS772" s="2"/>
      <c r="AT772" s="2"/>
    </row>
    <row r="773" spans="36:46" ht="14.25" customHeight="1">
      <c r="AJ773" s="2"/>
      <c r="AK773" s="2"/>
      <c r="AL773" s="2"/>
      <c r="AM773" s="2"/>
      <c r="AN773" s="2"/>
      <c r="AO773" s="2"/>
      <c r="AP773" s="2"/>
      <c r="AQ773" s="2"/>
      <c r="AR773" s="2"/>
      <c r="AS773" s="2"/>
      <c r="AT773" s="2"/>
    </row>
    <row r="774" spans="36:46" ht="14.25" customHeight="1">
      <c r="AJ774" s="2"/>
      <c r="AK774" s="2"/>
      <c r="AL774" s="2"/>
      <c r="AM774" s="2"/>
      <c r="AN774" s="2"/>
      <c r="AO774" s="2"/>
      <c r="AP774" s="2"/>
      <c r="AQ774" s="2"/>
      <c r="AR774" s="2"/>
      <c r="AS774" s="2"/>
      <c r="AT774" s="2"/>
    </row>
    <row r="775" spans="36:46" ht="14.25" customHeight="1">
      <c r="AJ775" s="2"/>
      <c r="AK775" s="2"/>
      <c r="AL775" s="2"/>
      <c r="AM775" s="2"/>
      <c r="AN775" s="2"/>
      <c r="AO775" s="2"/>
      <c r="AP775" s="2"/>
      <c r="AQ775" s="2"/>
      <c r="AR775" s="2"/>
      <c r="AS775" s="2"/>
      <c r="AT775" s="2"/>
    </row>
    <row r="776" spans="36:46" ht="14.25" customHeight="1">
      <c r="AJ776" s="2"/>
      <c r="AK776" s="2"/>
      <c r="AL776" s="2"/>
      <c r="AM776" s="2"/>
      <c r="AN776" s="2"/>
      <c r="AO776" s="2"/>
      <c r="AP776" s="2"/>
      <c r="AQ776" s="2"/>
      <c r="AR776" s="2"/>
      <c r="AS776" s="2"/>
      <c r="AT776" s="2"/>
    </row>
    <row r="777" spans="36:46" ht="14.25" customHeight="1">
      <c r="AJ777" s="2"/>
      <c r="AK777" s="2"/>
      <c r="AL777" s="2"/>
      <c r="AM777" s="2"/>
      <c r="AN777" s="2"/>
      <c r="AO777" s="2"/>
      <c r="AP777" s="2"/>
      <c r="AQ777" s="2"/>
      <c r="AR777" s="2"/>
      <c r="AS777" s="2"/>
      <c r="AT777" s="2"/>
    </row>
    <row r="778" spans="36:46" ht="14.25" customHeight="1">
      <c r="AJ778" s="2"/>
      <c r="AK778" s="2"/>
      <c r="AL778" s="2"/>
      <c r="AM778" s="2"/>
      <c r="AN778" s="2"/>
      <c r="AO778" s="2"/>
      <c r="AP778" s="2"/>
      <c r="AQ778" s="2"/>
      <c r="AR778" s="2"/>
      <c r="AS778" s="2"/>
      <c r="AT778" s="2"/>
    </row>
    <row r="779" spans="36:46" ht="14.25" customHeight="1">
      <c r="AJ779" s="2"/>
      <c r="AK779" s="2"/>
      <c r="AL779" s="2"/>
      <c r="AM779" s="2"/>
      <c r="AN779" s="2"/>
      <c r="AO779" s="2"/>
      <c r="AP779" s="2"/>
      <c r="AQ779" s="2"/>
      <c r="AR779" s="2"/>
      <c r="AS779" s="2"/>
      <c r="AT779" s="2"/>
    </row>
    <row r="780" spans="36:46" ht="14.25" customHeight="1">
      <c r="AJ780" s="2"/>
      <c r="AK780" s="2"/>
      <c r="AL780" s="2"/>
      <c r="AM780" s="2"/>
      <c r="AN780" s="2"/>
      <c r="AO780" s="2"/>
      <c r="AP780" s="2"/>
      <c r="AQ780" s="2"/>
      <c r="AR780" s="2"/>
      <c r="AS780" s="2"/>
      <c r="AT780" s="2"/>
    </row>
    <row r="781" spans="36:46" ht="14.25" customHeight="1">
      <c r="AJ781" s="2"/>
      <c r="AK781" s="2"/>
      <c r="AL781" s="2"/>
      <c r="AM781" s="2"/>
      <c r="AN781" s="2"/>
      <c r="AO781" s="2"/>
      <c r="AP781" s="2"/>
      <c r="AQ781" s="2"/>
      <c r="AR781" s="2"/>
      <c r="AS781" s="2"/>
      <c r="AT781" s="2"/>
    </row>
    <row r="782" spans="36:46" ht="14.25" customHeight="1">
      <c r="AJ782" s="2"/>
      <c r="AK782" s="2"/>
      <c r="AL782" s="2"/>
      <c r="AM782" s="2"/>
      <c r="AN782" s="2"/>
      <c r="AO782" s="2"/>
      <c r="AP782" s="2"/>
      <c r="AQ782" s="2"/>
      <c r="AR782" s="2"/>
      <c r="AS782" s="2"/>
      <c r="AT782" s="2"/>
    </row>
    <row r="783" spans="36:46" ht="14.25" customHeight="1">
      <c r="AJ783" s="2"/>
      <c r="AK783" s="2"/>
      <c r="AL783" s="2"/>
      <c r="AM783" s="2"/>
      <c r="AN783" s="2"/>
      <c r="AO783" s="2"/>
      <c r="AP783" s="2"/>
      <c r="AQ783" s="2"/>
      <c r="AR783" s="2"/>
      <c r="AS783" s="2"/>
      <c r="AT783" s="2"/>
    </row>
    <row r="784" spans="36:46" ht="14.25" customHeight="1">
      <c r="AJ784" s="2"/>
      <c r="AK784" s="2"/>
      <c r="AL784" s="2"/>
      <c r="AM784" s="2"/>
      <c r="AN784" s="2"/>
      <c r="AO784" s="2"/>
      <c r="AP784" s="2"/>
      <c r="AQ784" s="2"/>
      <c r="AR784" s="2"/>
      <c r="AS784" s="2"/>
      <c r="AT784" s="2"/>
    </row>
    <row r="785" spans="36:46" ht="14.25" customHeight="1">
      <c r="AJ785" s="2"/>
      <c r="AK785" s="2"/>
      <c r="AL785" s="2"/>
      <c r="AM785" s="2"/>
      <c r="AN785" s="2"/>
      <c r="AO785" s="2"/>
      <c r="AP785" s="2"/>
      <c r="AQ785" s="2"/>
      <c r="AR785" s="2"/>
      <c r="AS785" s="2"/>
      <c r="AT785" s="2"/>
    </row>
    <row r="786" spans="36:46" ht="14.25" customHeight="1">
      <c r="AJ786" s="2"/>
      <c r="AK786" s="2"/>
      <c r="AL786" s="2"/>
      <c r="AM786" s="2"/>
      <c r="AN786" s="2"/>
      <c r="AO786" s="2"/>
      <c r="AP786" s="2"/>
      <c r="AQ786" s="2"/>
      <c r="AR786" s="2"/>
      <c r="AS786" s="2"/>
      <c r="AT786" s="2"/>
    </row>
    <row r="787" spans="36:46" ht="14.25" customHeight="1">
      <c r="AJ787" s="2"/>
      <c r="AK787" s="2"/>
      <c r="AL787" s="2"/>
      <c r="AM787" s="2"/>
      <c r="AN787" s="2"/>
      <c r="AO787" s="2"/>
      <c r="AP787" s="2"/>
      <c r="AQ787" s="2"/>
      <c r="AR787" s="2"/>
      <c r="AS787" s="2"/>
      <c r="AT787" s="2"/>
    </row>
    <row r="788" spans="36:46" ht="14.25" customHeight="1">
      <c r="AJ788" s="2"/>
      <c r="AK788" s="2"/>
      <c r="AL788" s="2"/>
      <c r="AM788" s="2"/>
      <c r="AN788" s="2"/>
      <c r="AO788" s="2"/>
      <c r="AP788" s="2"/>
      <c r="AQ788" s="2"/>
      <c r="AR788" s="2"/>
      <c r="AS788" s="2"/>
      <c r="AT788" s="2"/>
    </row>
    <row r="789" spans="36:46" ht="14.25" customHeight="1">
      <c r="AJ789" s="2"/>
      <c r="AK789" s="2"/>
      <c r="AL789" s="2"/>
      <c r="AM789" s="2"/>
      <c r="AN789" s="2"/>
      <c r="AO789" s="2"/>
      <c r="AP789" s="2"/>
      <c r="AQ789" s="2"/>
      <c r="AR789" s="2"/>
      <c r="AS789" s="2"/>
      <c r="AT789" s="2"/>
    </row>
    <row r="790" spans="36:46" ht="14.25" customHeight="1">
      <c r="AJ790" s="2"/>
      <c r="AK790" s="2"/>
      <c r="AL790" s="2"/>
      <c r="AM790" s="2"/>
      <c r="AN790" s="2"/>
      <c r="AO790" s="2"/>
      <c r="AP790" s="2"/>
      <c r="AQ790" s="2"/>
      <c r="AR790" s="2"/>
      <c r="AS790" s="2"/>
      <c r="AT790" s="2"/>
    </row>
    <row r="791" spans="36:46" ht="14.25" customHeight="1">
      <c r="AJ791" s="2"/>
      <c r="AK791" s="2"/>
      <c r="AL791" s="2"/>
      <c r="AM791" s="2"/>
      <c r="AN791" s="2"/>
      <c r="AO791" s="2"/>
      <c r="AP791" s="2"/>
      <c r="AQ791" s="2"/>
      <c r="AR791" s="2"/>
      <c r="AS791" s="2"/>
      <c r="AT791" s="2"/>
    </row>
    <row r="792" spans="36:46" ht="14.25" customHeight="1">
      <c r="AJ792" s="2"/>
      <c r="AK792" s="2"/>
      <c r="AL792" s="2"/>
      <c r="AM792" s="2"/>
      <c r="AN792" s="2"/>
      <c r="AO792" s="2"/>
      <c r="AP792" s="2"/>
      <c r="AQ792" s="2"/>
      <c r="AR792" s="2"/>
      <c r="AS792" s="2"/>
      <c r="AT792" s="2"/>
    </row>
    <row r="793" spans="36:46" ht="14.25" customHeight="1">
      <c r="AJ793" s="2"/>
      <c r="AK793" s="2"/>
      <c r="AL793" s="2"/>
      <c r="AM793" s="2"/>
      <c r="AN793" s="2"/>
      <c r="AO793" s="2"/>
      <c r="AP793" s="2"/>
      <c r="AQ793" s="2"/>
      <c r="AR793" s="2"/>
      <c r="AS793" s="2"/>
      <c r="AT793" s="2"/>
    </row>
    <row r="794" spans="36:46" ht="14.25" customHeight="1">
      <c r="AJ794" s="2"/>
      <c r="AK794" s="2"/>
      <c r="AL794" s="2"/>
      <c r="AM794" s="2"/>
      <c r="AN794" s="2"/>
      <c r="AO794" s="2"/>
      <c r="AP794" s="2"/>
      <c r="AQ794" s="2"/>
      <c r="AR794" s="2"/>
      <c r="AS794" s="2"/>
      <c r="AT794" s="2"/>
    </row>
    <row r="795" spans="36:46" ht="14.25" customHeight="1">
      <c r="AJ795" s="2"/>
      <c r="AK795" s="2"/>
      <c r="AL795" s="2"/>
      <c r="AM795" s="2"/>
      <c r="AN795" s="2"/>
      <c r="AO795" s="2"/>
      <c r="AP795" s="2"/>
      <c r="AQ795" s="2"/>
      <c r="AR795" s="2"/>
      <c r="AS795" s="2"/>
      <c r="AT795" s="2"/>
    </row>
    <row r="796" spans="36:46" ht="14.25" customHeight="1">
      <c r="AJ796" s="2"/>
      <c r="AK796" s="2"/>
      <c r="AL796" s="2"/>
      <c r="AM796" s="2"/>
      <c r="AN796" s="2"/>
      <c r="AO796" s="2"/>
      <c r="AP796" s="2"/>
      <c r="AQ796" s="2"/>
      <c r="AR796" s="2"/>
      <c r="AS796" s="2"/>
      <c r="AT796" s="2"/>
    </row>
    <row r="797" spans="36:46" ht="14.25" customHeight="1">
      <c r="AJ797" s="2"/>
      <c r="AK797" s="2"/>
      <c r="AL797" s="2"/>
      <c r="AM797" s="2"/>
      <c r="AN797" s="2"/>
      <c r="AO797" s="2"/>
      <c r="AP797" s="2"/>
      <c r="AQ797" s="2"/>
      <c r="AR797" s="2"/>
      <c r="AS797" s="2"/>
      <c r="AT797" s="2"/>
    </row>
    <row r="798" spans="36:46" ht="14.25" customHeight="1">
      <c r="AJ798" s="2"/>
      <c r="AK798" s="2"/>
      <c r="AL798" s="2"/>
      <c r="AM798" s="2"/>
      <c r="AN798" s="2"/>
      <c r="AO798" s="2"/>
      <c r="AP798" s="2"/>
      <c r="AQ798" s="2"/>
      <c r="AR798" s="2"/>
      <c r="AS798" s="2"/>
      <c r="AT798" s="2"/>
    </row>
    <row r="799" spans="36:46" ht="14.25" customHeight="1">
      <c r="AJ799" s="2"/>
      <c r="AK799" s="2"/>
      <c r="AL799" s="2"/>
      <c r="AM799" s="2"/>
      <c r="AN799" s="2"/>
      <c r="AO799" s="2"/>
      <c r="AP799" s="2"/>
      <c r="AQ799" s="2"/>
      <c r="AR799" s="2"/>
      <c r="AS799" s="2"/>
      <c r="AT799" s="2"/>
    </row>
    <row r="800" spans="36:46" ht="14.25" customHeight="1">
      <c r="AJ800" s="2"/>
      <c r="AK800" s="2"/>
      <c r="AL800" s="2"/>
      <c r="AM800" s="2"/>
      <c r="AN800" s="2"/>
      <c r="AO800" s="2"/>
      <c r="AP800" s="2"/>
      <c r="AQ800" s="2"/>
      <c r="AR800" s="2"/>
      <c r="AS800" s="2"/>
      <c r="AT800" s="2"/>
    </row>
    <row r="801" spans="36:46" ht="14.25" customHeight="1">
      <c r="AJ801" s="2"/>
      <c r="AK801" s="2"/>
      <c r="AL801" s="2"/>
      <c r="AM801" s="2"/>
      <c r="AN801" s="2"/>
      <c r="AO801" s="2"/>
      <c r="AP801" s="2"/>
      <c r="AQ801" s="2"/>
      <c r="AR801" s="2"/>
      <c r="AS801" s="2"/>
      <c r="AT801" s="2"/>
    </row>
    <row r="802" spans="36:46" ht="14.25" customHeight="1">
      <c r="AJ802" s="2"/>
      <c r="AK802" s="2"/>
      <c r="AL802" s="2"/>
      <c r="AM802" s="2"/>
      <c r="AN802" s="2"/>
      <c r="AO802" s="2"/>
      <c r="AP802" s="2"/>
      <c r="AQ802" s="2"/>
      <c r="AR802" s="2"/>
      <c r="AS802" s="2"/>
      <c r="AT802" s="2"/>
    </row>
    <row r="803" spans="36:46" ht="14.25" customHeight="1">
      <c r="AJ803" s="2"/>
      <c r="AK803" s="2"/>
      <c r="AL803" s="2"/>
      <c r="AM803" s="2"/>
      <c r="AN803" s="2"/>
      <c r="AO803" s="2"/>
      <c r="AP803" s="2"/>
      <c r="AQ803" s="2"/>
      <c r="AR803" s="2"/>
      <c r="AS803" s="2"/>
      <c r="AT803" s="2"/>
    </row>
    <row r="804" spans="36:46" ht="14.25" customHeight="1">
      <c r="AJ804" s="2"/>
      <c r="AK804" s="2"/>
      <c r="AL804" s="2"/>
      <c r="AM804" s="2"/>
      <c r="AN804" s="2"/>
      <c r="AO804" s="2"/>
      <c r="AP804" s="2"/>
      <c r="AQ804" s="2"/>
      <c r="AR804" s="2"/>
      <c r="AS804" s="2"/>
      <c r="AT804" s="2"/>
    </row>
    <row r="805" spans="36:46" ht="14.25" customHeight="1">
      <c r="AJ805" s="2"/>
      <c r="AK805" s="2"/>
      <c r="AL805" s="2"/>
      <c r="AM805" s="2"/>
      <c r="AN805" s="2"/>
      <c r="AO805" s="2"/>
      <c r="AP805" s="2"/>
      <c r="AQ805" s="2"/>
      <c r="AR805" s="2"/>
      <c r="AS805" s="2"/>
      <c r="AT805" s="2"/>
    </row>
    <row r="806" spans="36:46" ht="14.25" customHeight="1">
      <c r="AJ806" s="2"/>
      <c r="AK806" s="2"/>
      <c r="AL806" s="2"/>
      <c r="AM806" s="2"/>
      <c r="AN806" s="2"/>
      <c r="AO806" s="2"/>
      <c r="AP806" s="2"/>
      <c r="AQ806" s="2"/>
      <c r="AR806" s="2"/>
      <c r="AS806" s="2"/>
      <c r="AT806" s="2"/>
    </row>
    <row r="807" spans="36:46" ht="14.25" customHeight="1">
      <c r="AJ807" s="2"/>
      <c r="AK807" s="2"/>
      <c r="AL807" s="2"/>
      <c r="AM807" s="2"/>
      <c r="AN807" s="2"/>
      <c r="AO807" s="2"/>
      <c r="AP807" s="2"/>
      <c r="AQ807" s="2"/>
      <c r="AR807" s="2"/>
      <c r="AS807" s="2"/>
      <c r="AT807" s="2"/>
    </row>
    <row r="808" spans="36:46" ht="14.25" customHeight="1">
      <c r="AJ808" s="2"/>
      <c r="AK808" s="2"/>
      <c r="AL808" s="2"/>
      <c r="AM808" s="2"/>
      <c r="AN808" s="2"/>
      <c r="AO808" s="2"/>
      <c r="AP808" s="2"/>
      <c r="AQ808" s="2"/>
      <c r="AR808" s="2"/>
      <c r="AS808" s="2"/>
      <c r="AT808" s="2"/>
    </row>
    <row r="809" spans="36:46" ht="14.25" customHeight="1">
      <c r="AJ809" s="2"/>
      <c r="AK809" s="2"/>
      <c r="AL809" s="2"/>
      <c r="AM809" s="2"/>
      <c r="AN809" s="2"/>
      <c r="AO809" s="2"/>
      <c r="AP809" s="2"/>
      <c r="AQ809" s="2"/>
      <c r="AR809" s="2"/>
      <c r="AS809" s="2"/>
      <c r="AT809" s="2"/>
    </row>
    <row r="810" spans="36:46" ht="14.25" customHeight="1">
      <c r="AJ810" s="2"/>
      <c r="AK810" s="2"/>
      <c r="AL810" s="2"/>
      <c r="AM810" s="2"/>
      <c r="AN810" s="2"/>
      <c r="AO810" s="2"/>
      <c r="AP810" s="2"/>
      <c r="AQ810" s="2"/>
      <c r="AR810" s="2"/>
      <c r="AS810" s="2"/>
      <c r="AT810" s="2"/>
    </row>
    <row r="811" spans="36:46" ht="14.25" customHeight="1">
      <c r="AJ811" s="2"/>
      <c r="AK811" s="2"/>
      <c r="AL811" s="2"/>
      <c r="AM811" s="2"/>
      <c r="AN811" s="2"/>
      <c r="AO811" s="2"/>
      <c r="AP811" s="2"/>
      <c r="AQ811" s="2"/>
      <c r="AR811" s="2"/>
      <c r="AS811" s="2"/>
      <c r="AT811" s="2"/>
    </row>
    <row r="812" spans="36:46" ht="14.25" customHeight="1">
      <c r="AJ812" s="2"/>
      <c r="AK812" s="2"/>
      <c r="AL812" s="2"/>
      <c r="AM812" s="2"/>
      <c r="AN812" s="2"/>
      <c r="AO812" s="2"/>
      <c r="AP812" s="2"/>
      <c r="AQ812" s="2"/>
      <c r="AR812" s="2"/>
      <c r="AS812" s="2"/>
      <c r="AT812" s="2"/>
    </row>
    <row r="813" spans="36:46" ht="14.25" customHeight="1">
      <c r="AJ813" s="2"/>
      <c r="AK813" s="2"/>
      <c r="AL813" s="2"/>
      <c r="AM813" s="2"/>
      <c r="AN813" s="2"/>
      <c r="AO813" s="2"/>
      <c r="AP813" s="2"/>
      <c r="AQ813" s="2"/>
      <c r="AR813" s="2"/>
      <c r="AS813" s="2"/>
      <c r="AT813" s="2"/>
    </row>
    <row r="814" spans="36:46" ht="14.25" customHeight="1">
      <c r="AJ814" s="2"/>
      <c r="AK814" s="2"/>
      <c r="AL814" s="2"/>
      <c r="AM814" s="2"/>
      <c r="AN814" s="2"/>
      <c r="AO814" s="2"/>
      <c r="AP814" s="2"/>
      <c r="AQ814" s="2"/>
      <c r="AR814" s="2"/>
      <c r="AS814" s="2"/>
      <c r="AT814" s="2"/>
    </row>
    <row r="815" spans="36:46" ht="14.25" customHeight="1">
      <c r="AJ815" s="2"/>
      <c r="AK815" s="2"/>
      <c r="AL815" s="2"/>
      <c r="AM815" s="2"/>
      <c r="AN815" s="2"/>
      <c r="AO815" s="2"/>
      <c r="AP815" s="2"/>
      <c r="AQ815" s="2"/>
      <c r="AR815" s="2"/>
      <c r="AS815" s="2"/>
      <c r="AT815" s="2"/>
    </row>
    <row r="816" spans="36:46" ht="14.25" customHeight="1">
      <c r="AJ816" s="2"/>
      <c r="AK816" s="2"/>
      <c r="AL816" s="2"/>
      <c r="AM816" s="2"/>
      <c r="AN816" s="2"/>
      <c r="AO816" s="2"/>
      <c r="AP816" s="2"/>
      <c r="AQ816" s="2"/>
      <c r="AR816" s="2"/>
      <c r="AS816" s="2"/>
      <c r="AT816" s="2"/>
    </row>
    <row r="817" spans="36:46" ht="14.25" customHeight="1">
      <c r="AJ817" s="2"/>
      <c r="AK817" s="2"/>
      <c r="AL817" s="2"/>
      <c r="AM817" s="2"/>
      <c r="AN817" s="2"/>
      <c r="AO817" s="2"/>
      <c r="AP817" s="2"/>
      <c r="AQ817" s="2"/>
      <c r="AR817" s="2"/>
      <c r="AS817" s="2"/>
      <c r="AT817" s="2"/>
    </row>
    <row r="818" spans="36:46" ht="14.25" customHeight="1">
      <c r="AJ818" s="2"/>
      <c r="AK818" s="2"/>
      <c r="AL818" s="2"/>
      <c r="AM818" s="2"/>
      <c r="AN818" s="2"/>
      <c r="AO818" s="2"/>
      <c r="AP818" s="2"/>
      <c r="AQ818" s="2"/>
      <c r="AR818" s="2"/>
      <c r="AS818" s="2"/>
      <c r="AT818" s="2"/>
    </row>
    <row r="819" spans="36:46" ht="14.25" customHeight="1">
      <c r="AJ819" s="2"/>
      <c r="AK819" s="2"/>
      <c r="AL819" s="2"/>
      <c r="AM819" s="2"/>
      <c r="AN819" s="2"/>
      <c r="AO819" s="2"/>
      <c r="AP819" s="2"/>
      <c r="AQ819" s="2"/>
      <c r="AR819" s="2"/>
      <c r="AS819" s="2"/>
      <c r="AT819" s="2"/>
    </row>
    <row r="820" spans="36:46" ht="14.25" customHeight="1">
      <c r="AJ820" s="2"/>
      <c r="AK820" s="2"/>
      <c r="AL820" s="2"/>
      <c r="AM820" s="2"/>
      <c r="AN820" s="2"/>
      <c r="AO820" s="2"/>
      <c r="AP820" s="2"/>
      <c r="AQ820" s="2"/>
      <c r="AR820" s="2"/>
      <c r="AS820" s="2"/>
      <c r="AT820" s="2"/>
    </row>
    <row r="821" spans="36:46" ht="14.25" customHeight="1">
      <c r="AJ821" s="2"/>
      <c r="AK821" s="2"/>
      <c r="AL821" s="2"/>
      <c r="AM821" s="2"/>
      <c r="AN821" s="2"/>
      <c r="AO821" s="2"/>
      <c r="AP821" s="2"/>
      <c r="AQ821" s="2"/>
      <c r="AR821" s="2"/>
      <c r="AS821" s="2"/>
      <c r="AT821" s="2"/>
    </row>
    <row r="822" spans="36:46" ht="14.25" customHeight="1">
      <c r="AJ822" s="2"/>
      <c r="AK822" s="2"/>
      <c r="AL822" s="2"/>
      <c r="AM822" s="2"/>
      <c r="AN822" s="2"/>
      <c r="AO822" s="2"/>
      <c r="AP822" s="2"/>
      <c r="AQ822" s="2"/>
      <c r="AR822" s="2"/>
      <c r="AS822" s="2"/>
      <c r="AT822" s="2"/>
    </row>
    <row r="823" spans="36:46" ht="14.25" customHeight="1">
      <c r="AJ823" s="2"/>
      <c r="AK823" s="2"/>
      <c r="AL823" s="2"/>
      <c r="AM823" s="2"/>
      <c r="AN823" s="2"/>
      <c r="AO823" s="2"/>
      <c r="AP823" s="2"/>
      <c r="AQ823" s="2"/>
      <c r="AR823" s="2"/>
      <c r="AS823" s="2"/>
      <c r="AT823" s="2"/>
    </row>
    <row r="824" spans="36:46" ht="14.25" customHeight="1">
      <c r="AJ824" s="2"/>
      <c r="AK824" s="2"/>
      <c r="AL824" s="2"/>
      <c r="AM824" s="2"/>
      <c r="AN824" s="2"/>
      <c r="AO824" s="2"/>
      <c r="AP824" s="2"/>
      <c r="AQ824" s="2"/>
      <c r="AR824" s="2"/>
      <c r="AS824" s="2"/>
      <c r="AT824" s="2"/>
    </row>
    <row r="825" spans="36:46" ht="14.25" customHeight="1">
      <c r="AJ825" s="2"/>
      <c r="AK825" s="2"/>
      <c r="AL825" s="2"/>
      <c r="AM825" s="2"/>
      <c r="AN825" s="2"/>
      <c r="AO825" s="2"/>
      <c r="AP825" s="2"/>
      <c r="AQ825" s="2"/>
      <c r="AR825" s="2"/>
      <c r="AS825" s="2"/>
      <c r="AT825" s="2"/>
    </row>
    <row r="826" spans="36:46" ht="14.25" customHeight="1">
      <c r="AJ826" s="2"/>
      <c r="AK826" s="2"/>
      <c r="AL826" s="2"/>
      <c r="AM826" s="2"/>
      <c r="AN826" s="2"/>
      <c r="AO826" s="2"/>
      <c r="AP826" s="2"/>
      <c r="AQ826" s="2"/>
      <c r="AR826" s="2"/>
      <c r="AS826" s="2"/>
      <c r="AT826" s="2"/>
    </row>
    <row r="827" spans="36:46" ht="14.25" customHeight="1">
      <c r="AJ827" s="2"/>
      <c r="AK827" s="2"/>
      <c r="AL827" s="2"/>
      <c r="AM827" s="2"/>
      <c r="AN827" s="2"/>
      <c r="AO827" s="2"/>
      <c r="AP827" s="2"/>
      <c r="AQ827" s="2"/>
      <c r="AR827" s="2"/>
      <c r="AS827" s="2"/>
      <c r="AT827" s="2"/>
    </row>
    <row r="828" spans="36:46" ht="14.25" customHeight="1">
      <c r="AJ828" s="2"/>
      <c r="AK828" s="2"/>
      <c r="AL828" s="2"/>
      <c r="AM828" s="2"/>
      <c r="AN828" s="2"/>
      <c r="AO828" s="2"/>
      <c r="AP828" s="2"/>
      <c r="AQ828" s="2"/>
      <c r="AR828" s="2"/>
      <c r="AS828" s="2"/>
      <c r="AT828" s="2"/>
    </row>
    <row r="829" spans="36:46" ht="14.25" customHeight="1">
      <c r="AJ829" s="2"/>
      <c r="AK829" s="2"/>
      <c r="AL829" s="2"/>
      <c r="AM829" s="2"/>
      <c r="AN829" s="2"/>
      <c r="AO829" s="2"/>
      <c r="AP829" s="2"/>
      <c r="AQ829" s="2"/>
      <c r="AR829" s="2"/>
      <c r="AS829" s="2"/>
      <c r="AT829" s="2"/>
    </row>
    <row r="830" spans="36:46" ht="14.25" customHeight="1">
      <c r="AJ830" s="2"/>
      <c r="AK830" s="2"/>
      <c r="AL830" s="2"/>
      <c r="AM830" s="2"/>
      <c r="AN830" s="2"/>
      <c r="AO830" s="2"/>
      <c r="AP830" s="2"/>
      <c r="AQ830" s="2"/>
      <c r="AR830" s="2"/>
      <c r="AS830" s="2"/>
      <c r="AT830" s="2"/>
    </row>
    <row r="831" spans="36:46" ht="14.25" customHeight="1">
      <c r="AJ831" s="2"/>
      <c r="AK831" s="2"/>
      <c r="AL831" s="2"/>
      <c r="AM831" s="2"/>
      <c r="AN831" s="2"/>
      <c r="AO831" s="2"/>
      <c r="AP831" s="2"/>
      <c r="AQ831" s="2"/>
      <c r="AR831" s="2"/>
      <c r="AS831" s="2"/>
      <c r="AT831" s="2"/>
    </row>
    <row r="832" spans="36:46" ht="14.25" customHeight="1">
      <c r="AJ832" s="2"/>
      <c r="AK832" s="2"/>
      <c r="AL832" s="2"/>
      <c r="AM832" s="2"/>
      <c r="AN832" s="2"/>
      <c r="AO832" s="2"/>
      <c r="AP832" s="2"/>
      <c r="AQ832" s="2"/>
      <c r="AR832" s="2"/>
      <c r="AS832" s="2"/>
      <c r="AT832" s="2"/>
    </row>
    <row r="833" spans="36:46" ht="14.25" customHeight="1">
      <c r="AJ833" s="2"/>
      <c r="AK833" s="2"/>
      <c r="AL833" s="2"/>
      <c r="AM833" s="2"/>
      <c r="AN833" s="2"/>
      <c r="AO833" s="2"/>
      <c r="AP833" s="2"/>
      <c r="AQ833" s="2"/>
      <c r="AR833" s="2"/>
      <c r="AS833" s="2"/>
      <c r="AT833" s="2"/>
    </row>
    <row r="834" spans="36:46" ht="14.25" customHeight="1">
      <c r="AJ834" s="2"/>
      <c r="AK834" s="2"/>
      <c r="AL834" s="2"/>
      <c r="AM834" s="2"/>
      <c r="AN834" s="2"/>
      <c r="AO834" s="2"/>
      <c r="AP834" s="2"/>
      <c r="AQ834" s="2"/>
      <c r="AR834" s="2"/>
      <c r="AS834" s="2"/>
      <c r="AT834" s="2"/>
    </row>
    <row r="835" spans="36:46" ht="14.25" customHeight="1">
      <c r="AJ835" s="2"/>
      <c r="AK835" s="2"/>
      <c r="AL835" s="2"/>
      <c r="AM835" s="2"/>
      <c r="AN835" s="2"/>
      <c r="AO835" s="2"/>
      <c r="AP835" s="2"/>
      <c r="AQ835" s="2"/>
      <c r="AR835" s="2"/>
      <c r="AS835" s="2"/>
      <c r="AT835" s="2"/>
    </row>
    <row r="836" spans="36:46" ht="14.25" customHeight="1">
      <c r="AJ836" s="2"/>
      <c r="AK836" s="2"/>
      <c r="AL836" s="2"/>
      <c r="AM836" s="2"/>
      <c r="AN836" s="2"/>
      <c r="AO836" s="2"/>
      <c r="AP836" s="2"/>
      <c r="AQ836" s="2"/>
      <c r="AR836" s="2"/>
      <c r="AS836" s="2"/>
      <c r="AT836" s="2"/>
    </row>
    <row r="837" spans="36:46" ht="14.25" customHeight="1">
      <c r="AJ837" s="2"/>
      <c r="AK837" s="2"/>
      <c r="AL837" s="2"/>
      <c r="AM837" s="2"/>
      <c r="AN837" s="2"/>
      <c r="AO837" s="2"/>
      <c r="AP837" s="2"/>
      <c r="AQ837" s="2"/>
      <c r="AR837" s="2"/>
      <c r="AS837" s="2"/>
      <c r="AT837" s="2"/>
    </row>
    <row r="838" spans="36:46" ht="14.25" customHeight="1">
      <c r="AJ838" s="2"/>
      <c r="AK838" s="2"/>
      <c r="AL838" s="2"/>
      <c r="AM838" s="2"/>
      <c r="AN838" s="2"/>
      <c r="AO838" s="2"/>
      <c r="AP838" s="2"/>
      <c r="AQ838" s="2"/>
      <c r="AR838" s="2"/>
      <c r="AS838" s="2"/>
      <c r="AT838" s="2"/>
    </row>
    <row r="839" spans="36:46" ht="14.25" customHeight="1">
      <c r="AJ839" s="2"/>
      <c r="AK839" s="2"/>
      <c r="AL839" s="2"/>
      <c r="AM839" s="2"/>
      <c r="AN839" s="2"/>
      <c r="AO839" s="2"/>
      <c r="AP839" s="2"/>
      <c r="AQ839" s="2"/>
      <c r="AR839" s="2"/>
      <c r="AS839" s="2"/>
      <c r="AT839" s="2"/>
    </row>
    <row r="840" spans="36:46" ht="14.25" customHeight="1">
      <c r="AJ840" s="2"/>
      <c r="AK840" s="2"/>
      <c r="AL840" s="2"/>
      <c r="AM840" s="2"/>
      <c r="AN840" s="2"/>
      <c r="AO840" s="2"/>
      <c r="AP840" s="2"/>
      <c r="AQ840" s="2"/>
      <c r="AR840" s="2"/>
      <c r="AS840" s="2"/>
      <c r="AT840" s="2"/>
    </row>
    <row r="841" spans="36:46" ht="14.25" customHeight="1">
      <c r="AJ841" s="2"/>
      <c r="AK841" s="2"/>
      <c r="AL841" s="2"/>
      <c r="AM841" s="2"/>
      <c r="AN841" s="2"/>
      <c r="AO841" s="2"/>
      <c r="AP841" s="2"/>
      <c r="AQ841" s="2"/>
      <c r="AR841" s="2"/>
      <c r="AS841" s="2"/>
      <c r="AT841" s="2"/>
    </row>
    <row r="842" spans="36:46" ht="14.25" customHeight="1">
      <c r="AJ842" s="2"/>
      <c r="AK842" s="2"/>
      <c r="AL842" s="2"/>
      <c r="AM842" s="2"/>
      <c r="AN842" s="2"/>
      <c r="AO842" s="2"/>
      <c r="AP842" s="2"/>
      <c r="AQ842" s="2"/>
      <c r="AR842" s="2"/>
      <c r="AS842" s="2"/>
      <c r="AT842" s="2"/>
    </row>
    <row r="843" spans="36:46" ht="14.25" customHeight="1">
      <c r="AJ843" s="2"/>
      <c r="AK843" s="2"/>
      <c r="AL843" s="2"/>
      <c r="AM843" s="2"/>
      <c r="AN843" s="2"/>
      <c r="AO843" s="2"/>
      <c r="AP843" s="2"/>
      <c r="AQ843" s="2"/>
      <c r="AR843" s="2"/>
      <c r="AS843" s="2"/>
      <c r="AT843" s="2"/>
    </row>
    <row r="844" spans="36:46" ht="14.25" customHeight="1">
      <c r="AJ844" s="2"/>
      <c r="AK844" s="2"/>
      <c r="AL844" s="2"/>
      <c r="AM844" s="2"/>
      <c r="AN844" s="2"/>
      <c r="AO844" s="2"/>
      <c r="AP844" s="2"/>
      <c r="AQ844" s="2"/>
      <c r="AR844" s="2"/>
      <c r="AS844" s="2"/>
      <c r="AT844" s="2"/>
    </row>
    <row r="845" spans="36:46" ht="14.25" customHeight="1">
      <c r="AJ845" s="2"/>
      <c r="AK845" s="2"/>
      <c r="AL845" s="2"/>
      <c r="AM845" s="2"/>
      <c r="AN845" s="2"/>
      <c r="AO845" s="2"/>
      <c r="AP845" s="2"/>
      <c r="AQ845" s="2"/>
      <c r="AR845" s="2"/>
      <c r="AS845" s="2"/>
      <c r="AT845" s="2"/>
    </row>
    <row r="846" spans="36:46" ht="14.25" customHeight="1">
      <c r="AJ846" s="2"/>
      <c r="AK846" s="2"/>
      <c r="AL846" s="2"/>
      <c r="AM846" s="2"/>
      <c r="AN846" s="2"/>
      <c r="AO846" s="2"/>
      <c r="AP846" s="2"/>
      <c r="AQ846" s="2"/>
      <c r="AR846" s="2"/>
      <c r="AS846" s="2"/>
      <c r="AT846" s="2"/>
    </row>
    <row r="847" spans="36:46" ht="14.25" customHeight="1">
      <c r="AJ847" s="2"/>
      <c r="AK847" s="2"/>
      <c r="AL847" s="2"/>
      <c r="AM847" s="2"/>
      <c r="AN847" s="2"/>
      <c r="AO847" s="2"/>
      <c r="AP847" s="2"/>
      <c r="AQ847" s="2"/>
      <c r="AR847" s="2"/>
      <c r="AS847" s="2"/>
      <c r="AT847" s="2"/>
    </row>
    <row r="848" spans="36:46" ht="14.25" customHeight="1">
      <c r="AJ848" s="2"/>
      <c r="AK848" s="2"/>
      <c r="AL848" s="2"/>
      <c r="AM848" s="2"/>
      <c r="AN848" s="2"/>
      <c r="AO848" s="2"/>
      <c r="AP848" s="2"/>
      <c r="AQ848" s="2"/>
      <c r="AR848" s="2"/>
      <c r="AS848" s="2"/>
      <c r="AT848" s="2"/>
    </row>
    <row r="849" spans="36:46" ht="14.25" customHeight="1">
      <c r="AJ849" s="2"/>
      <c r="AK849" s="2"/>
      <c r="AL849" s="2"/>
      <c r="AM849" s="2"/>
      <c r="AN849" s="2"/>
      <c r="AO849" s="2"/>
      <c r="AP849" s="2"/>
      <c r="AQ849" s="2"/>
      <c r="AR849" s="2"/>
      <c r="AS849" s="2"/>
      <c r="AT849" s="2"/>
    </row>
    <row r="850" spans="36:46" ht="14.25" customHeight="1">
      <c r="AJ850" s="2"/>
      <c r="AK850" s="2"/>
      <c r="AL850" s="2"/>
      <c r="AM850" s="2"/>
      <c r="AN850" s="2"/>
      <c r="AO850" s="2"/>
      <c r="AP850" s="2"/>
      <c r="AQ850" s="2"/>
      <c r="AR850" s="2"/>
      <c r="AS850" s="2"/>
      <c r="AT850" s="2"/>
    </row>
    <row r="851" spans="36:46" ht="14.25" customHeight="1">
      <c r="AJ851" s="2"/>
      <c r="AK851" s="2"/>
      <c r="AL851" s="2"/>
      <c r="AM851" s="2"/>
      <c r="AN851" s="2"/>
      <c r="AO851" s="2"/>
      <c r="AP851" s="2"/>
      <c r="AQ851" s="2"/>
      <c r="AR851" s="2"/>
      <c r="AS851" s="2"/>
      <c r="AT851" s="2"/>
    </row>
    <row r="852" spans="36:46" ht="14.25" customHeight="1">
      <c r="AJ852" s="2"/>
      <c r="AK852" s="2"/>
      <c r="AL852" s="2"/>
      <c r="AM852" s="2"/>
      <c r="AN852" s="2"/>
      <c r="AO852" s="2"/>
      <c r="AP852" s="2"/>
      <c r="AQ852" s="2"/>
      <c r="AR852" s="2"/>
      <c r="AS852" s="2"/>
      <c r="AT852" s="2"/>
    </row>
    <row r="853" spans="36:46" ht="14.25" customHeight="1">
      <c r="AJ853" s="2"/>
      <c r="AK853" s="2"/>
      <c r="AL853" s="2"/>
      <c r="AM853" s="2"/>
      <c r="AN853" s="2"/>
      <c r="AO853" s="2"/>
      <c r="AP853" s="2"/>
      <c r="AQ853" s="2"/>
      <c r="AR853" s="2"/>
      <c r="AS853" s="2"/>
      <c r="AT853" s="2"/>
    </row>
    <row r="854" spans="36:46" ht="14.25" customHeight="1">
      <c r="AJ854" s="2"/>
      <c r="AK854" s="2"/>
      <c r="AL854" s="2"/>
      <c r="AM854" s="2"/>
      <c r="AN854" s="2"/>
      <c r="AO854" s="2"/>
      <c r="AP854" s="2"/>
      <c r="AQ854" s="2"/>
      <c r="AR854" s="2"/>
      <c r="AS854" s="2"/>
      <c r="AT854" s="2"/>
    </row>
    <row r="855" spans="36:46" ht="14.25" customHeight="1">
      <c r="AJ855" s="2"/>
      <c r="AK855" s="2"/>
      <c r="AL855" s="2"/>
      <c r="AM855" s="2"/>
      <c r="AN855" s="2"/>
      <c r="AO855" s="2"/>
      <c r="AP855" s="2"/>
      <c r="AQ855" s="2"/>
      <c r="AR855" s="2"/>
      <c r="AS855" s="2"/>
      <c r="AT855" s="2"/>
    </row>
    <row r="856" spans="36:46" ht="14.25" customHeight="1">
      <c r="AJ856" s="2"/>
      <c r="AK856" s="2"/>
      <c r="AL856" s="2"/>
      <c r="AM856" s="2"/>
      <c r="AN856" s="2"/>
      <c r="AO856" s="2"/>
      <c r="AP856" s="2"/>
      <c r="AQ856" s="2"/>
      <c r="AR856" s="2"/>
      <c r="AS856" s="2"/>
      <c r="AT856" s="2"/>
    </row>
    <row r="857" spans="36:46" ht="14.25" customHeight="1">
      <c r="AJ857" s="2"/>
      <c r="AK857" s="2"/>
      <c r="AL857" s="2"/>
      <c r="AM857" s="2"/>
      <c r="AN857" s="2"/>
      <c r="AO857" s="2"/>
      <c r="AP857" s="2"/>
      <c r="AQ857" s="2"/>
      <c r="AR857" s="2"/>
      <c r="AS857" s="2"/>
      <c r="AT857" s="2"/>
    </row>
    <row r="858" spans="36:46" ht="14.25" customHeight="1">
      <c r="AJ858" s="2"/>
      <c r="AK858" s="2"/>
      <c r="AL858" s="2"/>
      <c r="AM858" s="2"/>
      <c r="AN858" s="2"/>
      <c r="AO858" s="2"/>
      <c r="AP858" s="2"/>
      <c r="AQ858" s="2"/>
      <c r="AR858" s="2"/>
      <c r="AS858" s="2"/>
      <c r="AT858" s="2"/>
    </row>
    <row r="859" spans="36:46" ht="14.25" customHeight="1">
      <c r="AJ859" s="2"/>
      <c r="AK859" s="2"/>
      <c r="AL859" s="2"/>
      <c r="AM859" s="2"/>
      <c r="AN859" s="2"/>
      <c r="AO859" s="2"/>
      <c r="AP859" s="2"/>
      <c r="AQ859" s="2"/>
      <c r="AR859" s="2"/>
      <c r="AS859" s="2"/>
      <c r="AT859" s="2"/>
    </row>
    <row r="860" spans="36:46" ht="14.25" customHeight="1">
      <c r="AJ860" s="2"/>
      <c r="AK860" s="2"/>
      <c r="AL860" s="2"/>
      <c r="AM860" s="2"/>
      <c r="AN860" s="2"/>
      <c r="AO860" s="2"/>
      <c r="AP860" s="2"/>
      <c r="AQ860" s="2"/>
      <c r="AR860" s="2"/>
      <c r="AS860" s="2"/>
      <c r="AT860" s="2"/>
    </row>
    <row r="861" spans="36:46" ht="14.25" customHeight="1">
      <c r="AJ861" s="2"/>
      <c r="AK861" s="2"/>
      <c r="AL861" s="2"/>
      <c r="AM861" s="2"/>
      <c r="AN861" s="2"/>
      <c r="AO861" s="2"/>
      <c r="AP861" s="2"/>
      <c r="AQ861" s="2"/>
      <c r="AR861" s="2"/>
      <c r="AS861" s="2"/>
      <c r="AT861" s="2"/>
    </row>
    <row r="862" spans="36:46" ht="14.25" customHeight="1">
      <c r="AJ862" s="2"/>
      <c r="AK862" s="2"/>
      <c r="AL862" s="2"/>
      <c r="AM862" s="2"/>
      <c r="AN862" s="2"/>
      <c r="AO862" s="2"/>
      <c r="AP862" s="2"/>
      <c r="AQ862" s="2"/>
      <c r="AR862" s="2"/>
      <c r="AS862" s="2"/>
      <c r="AT862" s="2"/>
    </row>
    <row r="863" spans="36:46" ht="14.25" customHeight="1">
      <c r="AJ863" s="2"/>
      <c r="AK863" s="2"/>
      <c r="AL863" s="2"/>
      <c r="AM863" s="2"/>
      <c r="AN863" s="2"/>
      <c r="AO863" s="2"/>
      <c r="AP863" s="2"/>
      <c r="AQ863" s="2"/>
      <c r="AR863" s="2"/>
      <c r="AS863" s="2"/>
      <c r="AT863" s="2"/>
    </row>
    <row r="864" spans="36:46" ht="14.25" customHeight="1">
      <c r="AJ864" s="2"/>
      <c r="AK864" s="2"/>
      <c r="AL864" s="2"/>
      <c r="AM864" s="2"/>
      <c r="AN864" s="2"/>
      <c r="AO864" s="2"/>
      <c r="AP864" s="2"/>
      <c r="AQ864" s="2"/>
      <c r="AR864" s="2"/>
      <c r="AS864" s="2"/>
      <c r="AT864" s="2"/>
    </row>
    <row r="865" spans="36:46" ht="14.25" customHeight="1">
      <c r="AJ865" s="2"/>
      <c r="AK865" s="2"/>
      <c r="AL865" s="2"/>
      <c r="AM865" s="2"/>
      <c r="AN865" s="2"/>
      <c r="AO865" s="2"/>
      <c r="AP865" s="2"/>
      <c r="AQ865" s="2"/>
      <c r="AR865" s="2"/>
      <c r="AS865" s="2"/>
      <c r="AT865" s="2"/>
    </row>
    <row r="866" spans="36:46" ht="14.25" customHeight="1">
      <c r="AJ866" s="2"/>
      <c r="AK866" s="2"/>
      <c r="AL866" s="2"/>
      <c r="AM866" s="2"/>
      <c r="AN866" s="2"/>
      <c r="AO866" s="2"/>
      <c r="AP866" s="2"/>
      <c r="AQ866" s="2"/>
      <c r="AR866" s="2"/>
      <c r="AS866" s="2"/>
      <c r="AT866" s="2"/>
    </row>
    <row r="867" spans="36:46" ht="14.25" customHeight="1">
      <c r="AJ867" s="2"/>
      <c r="AK867" s="2"/>
      <c r="AL867" s="2"/>
      <c r="AM867" s="2"/>
      <c r="AN867" s="2"/>
      <c r="AO867" s="2"/>
      <c r="AP867" s="2"/>
      <c r="AQ867" s="2"/>
      <c r="AR867" s="2"/>
      <c r="AS867" s="2"/>
      <c r="AT867" s="2"/>
    </row>
    <row r="868" spans="36:46" ht="14.25" customHeight="1">
      <c r="AJ868" s="2"/>
      <c r="AK868" s="2"/>
      <c r="AL868" s="2"/>
      <c r="AM868" s="2"/>
      <c r="AN868" s="2"/>
      <c r="AO868" s="2"/>
      <c r="AP868" s="2"/>
      <c r="AQ868" s="2"/>
      <c r="AR868" s="2"/>
      <c r="AS868" s="2"/>
      <c r="AT868" s="2"/>
    </row>
    <row r="869" spans="36:46" ht="14.25" customHeight="1">
      <c r="AJ869" s="2"/>
      <c r="AK869" s="2"/>
      <c r="AL869" s="2"/>
      <c r="AM869" s="2"/>
      <c r="AN869" s="2"/>
      <c r="AO869" s="2"/>
      <c r="AP869" s="2"/>
      <c r="AQ869" s="2"/>
      <c r="AR869" s="2"/>
      <c r="AS869" s="2"/>
      <c r="AT869" s="2"/>
    </row>
    <row r="870" spans="36:46" ht="14.25" customHeight="1">
      <c r="AJ870" s="2"/>
      <c r="AK870" s="2"/>
      <c r="AL870" s="2"/>
      <c r="AM870" s="2"/>
      <c r="AN870" s="2"/>
      <c r="AO870" s="2"/>
      <c r="AP870" s="2"/>
      <c r="AQ870" s="2"/>
      <c r="AR870" s="2"/>
      <c r="AS870" s="2"/>
      <c r="AT870" s="2"/>
    </row>
    <row r="871" spans="36:46" ht="14.25" customHeight="1">
      <c r="AJ871" s="2"/>
      <c r="AK871" s="2"/>
      <c r="AL871" s="2"/>
      <c r="AM871" s="2"/>
      <c r="AN871" s="2"/>
      <c r="AO871" s="2"/>
      <c r="AP871" s="2"/>
      <c r="AQ871" s="2"/>
      <c r="AR871" s="2"/>
      <c r="AS871" s="2"/>
      <c r="AT871" s="2"/>
    </row>
    <row r="872" spans="36:46" ht="14.25" customHeight="1">
      <c r="AJ872" s="2"/>
      <c r="AK872" s="2"/>
      <c r="AL872" s="2"/>
      <c r="AM872" s="2"/>
      <c r="AN872" s="2"/>
      <c r="AO872" s="2"/>
      <c r="AP872" s="2"/>
      <c r="AQ872" s="2"/>
      <c r="AR872" s="2"/>
      <c r="AS872" s="2"/>
      <c r="AT872" s="2"/>
    </row>
    <row r="873" spans="36:46" ht="14.25" customHeight="1">
      <c r="AJ873" s="2"/>
      <c r="AK873" s="2"/>
      <c r="AL873" s="2"/>
      <c r="AM873" s="2"/>
      <c r="AN873" s="2"/>
      <c r="AO873" s="2"/>
      <c r="AP873" s="2"/>
      <c r="AQ873" s="2"/>
      <c r="AR873" s="2"/>
      <c r="AS873" s="2"/>
      <c r="AT873" s="2"/>
    </row>
    <row r="874" spans="36:46" ht="14.25" customHeight="1">
      <c r="AJ874" s="2"/>
      <c r="AK874" s="2"/>
      <c r="AL874" s="2"/>
      <c r="AM874" s="2"/>
      <c r="AN874" s="2"/>
      <c r="AO874" s="2"/>
      <c r="AP874" s="2"/>
      <c r="AQ874" s="2"/>
      <c r="AR874" s="2"/>
      <c r="AS874" s="2"/>
      <c r="AT874" s="2"/>
    </row>
    <row r="875" spans="36:46" ht="14.25" customHeight="1">
      <c r="AJ875" s="2"/>
      <c r="AK875" s="2"/>
      <c r="AL875" s="2"/>
      <c r="AM875" s="2"/>
      <c r="AN875" s="2"/>
      <c r="AO875" s="2"/>
      <c r="AP875" s="2"/>
      <c r="AQ875" s="2"/>
      <c r="AR875" s="2"/>
      <c r="AS875" s="2"/>
      <c r="AT875" s="2"/>
    </row>
    <row r="876" spans="36:46" ht="14.25" customHeight="1">
      <c r="AJ876" s="2"/>
      <c r="AK876" s="2"/>
      <c r="AL876" s="2"/>
      <c r="AM876" s="2"/>
      <c r="AN876" s="2"/>
      <c r="AO876" s="2"/>
      <c r="AP876" s="2"/>
      <c r="AQ876" s="2"/>
      <c r="AR876" s="2"/>
      <c r="AS876" s="2"/>
      <c r="AT876" s="2"/>
    </row>
    <row r="877" spans="36:46" ht="14.25" customHeight="1">
      <c r="AJ877" s="2"/>
      <c r="AK877" s="2"/>
      <c r="AL877" s="2"/>
      <c r="AM877" s="2"/>
      <c r="AN877" s="2"/>
      <c r="AO877" s="2"/>
      <c r="AP877" s="2"/>
      <c r="AQ877" s="2"/>
      <c r="AR877" s="2"/>
      <c r="AS877" s="2"/>
      <c r="AT877" s="2"/>
    </row>
    <row r="878" spans="36:46" ht="14.25" customHeight="1">
      <c r="AJ878" s="2"/>
      <c r="AK878" s="2"/>
      <c r="AL878" s="2"/>
      <c r="AM878" s="2"/>
      <c r="AN878" s="2"/>
      <c r="AO878" s="2"/>
      <c r="AP878" s="2"/>
      <c r="AQ878" s="2"/>
      <c r="AR878" s="2"/>
      <c r="AS878" s="2"/>
      <c r="AT878" s="2"/>
    </row>
    <row r="879" spans="36:46" ht="14.25" customHeight="1">
      <c r="AJ879" s="2"/>
      <c r="AK879" s="2"/>
      <c r="AL879" s="2"/>
      <c r="AM879" s="2"/>
      <c r="AN879" s="2"/>
      <c r="AO879" s="2"/>
      <c r="AP879" s="2"/>
      <c r="AQ879" s="2"/>
      <c r="AR879" s="2"/>
      <c r="AS879" s="2"/>
      <c r="AT879" s="2"/>
    </row>
    <row r="880" spans="36:46" ht="14.25" customHeight="1">
      <c r="AJ880" s="2"/>
      <c r="AK880" s="2"/>
      <c r="AL880" s="2"/>
      <c r="AM880" s="2"/>
      <c r="AN880" s="2"/>
      <c r="AO880" s="2"/>
      <c r="AP880" s="2"/>
      <c r="AQ880" s="2"/>
      <c r="AR880" s="2"/>
      <c r="AS880" s="2"/>
      <c r="AT880" s="2"/>
    </row>
    <row r="881" spans="36:46" ht="14.25" customHeight="1">
      <c r="AJ881" s="2"/>
      <c r="AK881" s="2"/>
      <c r="AL881" s="2"/>
      <c r="AM881" s="2"/>
      <c r="AN881" s="2"/>
      <c r="AO881" s="2"/>
      <c r="AP881" s="2"/>
      <c r="AQ881" s="2"/>
      <c r="AR881" s="2"/>
      <c r="AS881" s="2"/>
      <c r="AT881" s="2"/>
    </row>
    <row r="882" spans="36:46" ht="14.25" customHeight="1">
      <c r="AJ882" s="2"/>
      <c r="AK882" s="2"/>
      <c r="AL882" s="2"/>
      <c r="AM882" s="2"/>
      <c r="AN882" s="2"/>
      <c r="AO882" s="2"/>
      <c r="AP882" s="2"/>
      <c r="AQ882" s="2"/>
      <c r="AR882" s="2"/>
      <c r="AS882" s="2"/>
      <c r="AT882" s="2"/>
    </row>
    <row r="883" spans="36:46" ht="14.25" customHeight="1">
      <c r="AJ883" s="2"/>
      <c r="AK883" s="2"/>
      <c r="AL883" s="2"/>
      <c r="AM883" s="2"/>
      <c r="AN883" s="2"/>
      <c r="AO883" s="2"/>
      <c r="AP883" s="2"/>
      <c r="AQ883" s="2"/>
      <c r="AR883" s="2"/>
      <c r="AS883" s="2"/>
      <c r="AT883" s="2"/>
    </row>
    <row r="884" spans="36:46" ht="14.25" customHeight="1">
      <c r="AJ884" s="2"/>
      <c r="AK884" s="2"/>
      <c r="AL884" s="2"/>
      <c r="AM884" s="2"/>
      <c r="AN884" s="2"/>
      <c r="AO884" s="2"/>
      <c r="AP884" s="2"/>
      <c r="AQ884" s="2"/>
      <c r="AR884" s="2"/>
      <c r="AS884" s="2"/>
      <c r="AT884" s="2"/>
    </row>
    <row r="885" spans="36:46" ht="14.25" customHeight="1">
      <c r="AJ885" s="2"/>
      <c r="AK885" s="2"/>
      <c r="AL885" s="2"/>
      <c r="AM885" s="2"/>
      <c r="AN885" s="2"/>
      <c r="AO885" s="2"/>
      <c r="AP885" s="2"/>
      <c r="AQ885" s="2"/>
      <c r="AR885" s="2"/>
      <c r="AS885" s="2"/>
      <c r="AT885" s="2"/>
    </row>
    <row r="886" spans="36:46" ht="14.25" customHeight="1">
      <c r="AJ886" s="2"/>
      <c r="AK886" s="2"/>
      <c r="AL886" s="2"/>
      <c r="AM886" s="2"/>
      <c r="AN886" s="2"/>
      <c r="AO886" s="2"/>
      <c r="AP886" s="2"/>
      <c r="AQ886" s="2"/>
      <c r="AR886" s="2"/>
      <c r="AS886" s="2"/>
      <c r="AT886" s="2"/>
    </row>
    <row r="887" spans="36:46" ht="14.25" customHeight="1">
      <c r="AJ887" s="2"/>
      <c r="AK887" s="2"/>
      <c r="AL887" s="2"/>
      <c r="AM887" s="2"/>
      <c r="AN887" s="2"/>
      <c r="AO887" s="2"/>
      <c r="AP887" s="2"/>
      <c r="AQ887" s="2"/>
      <c r="AR887" s="2"/>
      <c r="AS887" s="2"/>
      <c r="AT887" s="2"/>
    </row>
    <row r="888" spans="36:46" ht="14.25" customHeight="1">
      <c r="AJ888" s="2"/>
      <c r="AK888" s="2"/>
      <c r="AL888" s="2"/>
      <c r="AM888" s="2"/>
      <c r="AN888" s="2"/>
      <c r="AO888" s="2"/>
      <c r="AP888" s="2"/>
      <c r="AQ888" s="2"/>
      <c r="AR888" s="2"/>
      <c r="AS888" s="2"/>
      <c r="AT888" s="2"/>
    </row>
    <row r="889" spans="36:46" ht="14.25" customHeight="1">
      <c r="AJ889" s="2"/>
      <c r="AK889" s="2"/>
      <c r="AL889" s="2"/>
      <c r="AM889" s="2"/>
      <c r="AN889" s="2"/>
      <c r="AO889" s="2"/>
      <c r="AP889" s="2"/>
      <c r="AQ889" s="2"/>
      <c r="AR889" s="2"/>
      <c r="AS889" s="2"/>
      <c r="AT889" s="2"/>
    </row>
    <row r="890" spans="36:46" ht="14.25" customHeight="1">
      <c r="AJ890" s="2"/>
      <c r="AK890" s="2"/>
      <c r="AL890" s="2"/>
      <c r="AM890" s="2"/>
      <c r="AN890" s="2"/>
      <c r="AO890" s="2"/>
      <c r="AP890" s="2"/>
      <c r="AQ890" s="2"/>
      <c r="AR890" s="2"/>
      <c r="AS890" s="2"/>
      <c r="AT890" s="2"/>
    </row>
    <row r="891" spans="36:46" ht="14.25" customHeight="1">
      <c r="AJ891" s="2"/>
      <c r="AK891" s="2"/>
      <c r="AL891" s="2"/>
      <c r="AM891" s="2"/>
      <c r="AN891" s="2"/>
      <c r="AO891" s="2"/>
      <c r="AP891" s="2"/>
      <c r="AQ891" s="2"/>
      <c r="AR891" s="2"/>
      <c r="AS891" s="2"/>
      <c r="AT891" s="2"/>
    </row>
    <row r="892" spans="36:46" ht="14.25" customHeight="1">
      <c r="AJ892" s="2"/>
      <c r="AK892" s="2"/>
      <c r="AL892" s="2"/>
      <c r="AM892" s="2"/>
      <c r="AN892" s="2"/>
      <c r="AO892" s="2"/>
      <c r="AP892" s="2"/>
      <c r="AQ892" s="2"/>
      <c r="AR892" s="2"/>
      <c r="AS892" s="2"/>
      <c r="AT892" s="2"/>
    </row>
    <row r="893" spans="36:46" ht="14.25" customHeight="1">
      <c r="AJ893" s="2"/>
      <c r="AK893" s="2"/>
      <c r="AL893" s="2"/>
      <c r="AM893" s="2"/>
      <c r="AN893" s="2"/>
      <c r="AO893" s="2"/>
      <c r="AP893" s="2"/>
      <c r="AQ893" s="2"/>
      <c r="AR893" s="2"/>
      <c r="AS893" s="2"/>
      <c r="AT893" s="2"/>
    </row>
    <row r="894" spans="36:46" ht="14.25" customHeight="1">
      <c r="AJ894" s="2"/>
      <c r="AK894" s="2"/>
      <c r="AL894" s="2"/>
      <c r="AM894" s="2"/>
      <c r="AN894" s="2"/>
      <c r="AO894" s="2"/>
      <c r="AP894" s="2"/>
      <c r="AQ894" s="2"/>
      <c r="AR894" s="2"/>
      <c r="AS894" s="2"/>
      <c r="AT894" s="2"/>
    </row>
    <row r="895" spans="36:46" ht="14.25" customHeight="1">
      <c r="AJ895" s="2"/>
      <c r="AK895" s="2"/>
      <c r="AL895" s="2"/>
      <c r="AM895" s="2"/>
      <c r="AN895" s="2"/>
      <c r="AO895" s="2"/>
      <c r="AP895" s="2"/>
      <c r="AQ895" s="2"/>
      <c r="AR895" s="2"/>
      <c r="AS895" s="2"/>
      <c r="AT895" s="2"/>
    </row>
    <row r="896" spans="36:46" ht="14.25" customHeight="1">
      <c r="AJ896" s="2"/>
      <c r="AK896" s="2"/>
      <c r="AL896" s="2"/>
      <c r="AM896" s="2"/>
      <c r="AN896" s="2"/>
      <c r="AO896" s="2"/>
      <c r="AP896" s="2"/>
      <c r="AQ896" s="2"/>
      <c r="AR896" s="2"/>
      <c r="AS896" s="2"/>
      <c r="AT896" s="2"/>
    </row>
    <row r="897" spans="36:46" ht="14.25" customHeight="1">
      <c r="AJ897" s="2"/>
      <c r="AK897" s="2"/>
      <c r="AL897" s="2"/>
      <c r="AM897" s="2"/>
      <c r="AN897" s="2"/>
      <c r="AO897" s="2"/>
      <c r="AP897" s="2"/>
      <c r="AQ897" s="2"/>
      <c r="AR897" s="2"/>
      <c r="AS897" s="2"/>
      <c r="AT897" s="2"/>
    </row>
    <row r="898" spans="36:46" ht="14.25" customHeight="1">
      <c r="AJ898" s="2"/>
      <c r="AK898" s="2"/>
      <c r="AL898" s="2"/>
      <c r="AM898" s="2"/>
      <c r="AN898" s="2"/>
      <c r="AO898" s="2"/>
      <c r="AP898" s="2"/>
      <c r="AQ898" s="2"/>
      <c r="AR898" s="2"/>
      <c r="AS898" s="2"/>
      <c r="AT898" s="2"/>
    </row>
    <row r="899" spans="36:46" ht="14.25" customHeight="1">
      <c r="AJ899" s="2"/>
      <c r="AK899" s="2"/>
      <c r="AL899" s="2"/>
      <c r="AM899" s="2"/>
      <c r="AN899" s="2"/>
      <c r="AO899" s="2"/>
      <c r="AP899" s="2"/>
      <c r="AQ899" s="2"/>
      <c r="AR899" s="2"/>
      <c r="AS899" s="2"/>
      <c r="AT899" s="2"/>
    </row>
    <row r="900" spans="36:46" ht="14.25" customHeight="1">
      <c r="AJ900" s="2"/>
      <c r="AK900" s="2"/>
      <c r="AL900" s="2"/>
      <c r="AM900" s="2"/>
      <c r="AN900" s="2"/>
      <c r="AO900" s="2"/>
      <c r="AP900" s="2"/>
      <c r="AQ900" s="2"/>
      <c r="AR900" s="2"/>
      <c r="AS900" s="2"/>
      <c r="AT900" s="2"/>
    </row>
    <row r="901" spans="36:46" ht="14.25" customHeight="1">
      <c r="AJ901" s="2"/>
      <c r="AK901" s="2"/>
      <c r="AL901" s="2"/>
      <c r="AM901" s="2"/>
      <c r="AN901" s="2"/>
      <c r="AO901" s="2"/>
      <c r="AP901" s="2"/>
      <c r="AQ901" s="2"/>
      <c r="AR901" s="2"/>
      <c r="AS901" s="2"/>
      <c r="AT901" s="2"/>
    </row>
    <row r="902" spans="36:46" ht="14.25" customHeight="1">
      <c r="AJ902" s="2"/>
      <c r="AK902" s="2"/>
      <c r="AL902" s="2"/>
      <c r="AM902" s="2"/>
      <c r="AN902" s="2"/>
      <c r="AO902" s="2"/>
      <c r="AP902" s="2"/>
      <c r="AQ902" s="2"/>
      <c r="AR902" s="2"/>
      <c r="AS902" s="2"/>
      <c r="AT902" s="2"/>
    </row>
    <row r="903" spans="36:46" ht="14.25" customHeight="1">
      <c r="AJ903" s="2"/>
      <c r="AK903" s="2"/>
      <c r="AL903" s="2"/>
      <c r="AM903" s="2"/>
      <c r="AN903" s="2"/>
      <c r="AO903" s="2"/>
      <c r="AP903" s="2"/>
      <c r="AQ903" s="2"/>
      <c r="AR903" s="2"/>
      <c r="AS903" s="2"/>
      <c r="AT903" s="2"/>
    </row>
    <row r="904" spans="36:46" ht="14.25" customHeight="1">
      <c r="AJ904" s="2"/>
      <c r="AK904" s="2"/>
      <c r="AL904" s="2"/>
      <c r="AM904" s="2"/>
      <c r="AN904" s="2"/>
      <c r="AO904" s="2"/>
      <c r="AP904" s="2"/>
      <c r="AQ904" s="2"/>
      <c r="AR904" s="2"/>
      <c r="AS904" s="2"/>
      <c r="AT904" s="2"/>
    </row>
    <row r="905" spans="36:46" ht="14.25" customHeight="1">
      <c r="AJ905" s="2"/>
      <c r="AK905" s="2"/>
      <c r="AL905" s="2"/>
      <c r="AM905" s="2"/>
      <c r="AN905" s="2"/>
      <c r="AO905" s="2"/>
      <c r="AP905" s="2"/>
      <c r="AQ905" s="2"/>
      <c r="AR905" s="2"/>
      <c r="AS905" s="2"/>
      <c r="AT905" s="2"/>
    </row>
    <row r="906" spans="36:46" ht="14.25" customHeight="1">
      <c r="AJ906" s="2"/>
      <c r="AK906" s="2"/>
      <c r="AL906" s="2"/>
      <c r="AM906" s="2"/>
      <c r="AN906" s="2"/>
      <c r="AO906" s="2"/>
      <c r="AP906" s="2"/>
      <c r="AQ906" s="2"/>
      <c r="AR906" s="2"/>
      <c r="AS906" s="2"/>
      <c r="AT906" s="2"/>
    </row>
    <row r="907" spans="36:46" ht="14.25" customHeight="1">
      <c r="AJ907" s="2"/>
      <c r="AK907" s="2"/>
      <c r="AL907" s="2"/>
      <c r="AM907" s="2"/>
      <c r="AN907" s="2"/>
      <c r="AO907" s="2"/>
      <c r="AP907" s="2"/>
      <c r="AQ907" s="2"/>
      <c r="AR907" s="2"/>
      <c r="AS907" s="2"/>
      <c r="AT907" s="2"/>
    </row>
    <row r="908" spans="36:46" ht="14.25" customHeight="1">
      <c r="AJ908" s="2"/>
      <c r="AK908" s="2"/>
      <c r="AL908" s="2"/>
      <c r="AM908" s="2"/>
      <c r="AN908" s="2"/>
      <c r="AO908" s="2"/>
      <c r="AP908" s="2"/>
      <c r="AQ908" s="2"/>
      <c r="AR908" s="2"/>
      <c r="AS908" s="2"/>
      <c r="AT908" s="2"/>
    </row>
    <row r="909" spans="36:46" ht="14.25" customHeight="1">
      <c r="AJ909" s="2"/>
      <c r="AK909" s="2"/>
      <c r="AL909" s="2"/>
      <c r="AM909" s="2"/>
      <c r="AN909" s="2"/>
      <c r="AO909" s="2"/>
      <c r="AP909" s="2"/>
      <c r="AQ909" s="2"/>
      <c r="AR909" s="2"/>
      <c r="AS909" s="2"/>
      <c r="AT909" s="2"/>
    </row>
    <row r="910" spans="36:46" ht="14.25" customHeight="1">
      <c r="AJ910" s="2"/>
      <c r="AK910" s="2"/>
      <c r="AL910" s="2"/>
      <c r="AM910" s="2"/>
      <c r="AN910" s="2"/>
      <c r="AO910" s="2"/>
      <c r="AP910" s="2"/>
      <c r="AQ910" s="2"/>
      <c r="AR910" s="2"/>
      <c r="AS910" s="2"/>
      <c r="AT910" s="2"/>
    </row>
    <row r="911" spans="36:46" ht="14.25" customHeight="1">
      <c r="AJ911" s="2"/>
      <c r="AK911" s="2"/>
      <c r="AL911" s="2"/>
      <c r="AM911" s="2"/>
      <c r="AN911" s="2"/>
      <c r="AO911" s="2"/>
      <c r="AP911" s="2"/>
      <c r="AQ911" s="2"/>
      <c r="AR911" s="2"/>
      <c r="AS911" s="2"/>
      <c r="AT911" s="2"/>
    </row>
    <row r="912" spans="36:46" ht="14.25" customHeight="1">
      <c r="AJ912" s="2"/>
      <c r="AK912" s="2"/>
      <c r="AL912" s="2"/>
      <c r="AM912" s="2"/>
      <c r="AN912" s="2"/>
      <c r="AO912" s="2"/>
      <c r="AP912" s="2"/>
      <c r="AQ912" s="2"/>
      <c r="AR912" s="2"/>
      <c r="AS912" s="2"/>
      <c r="AT912" s="2"/>
    </row>
    <row r="913" spans="36:46" ht="14.25" customHeight="1">
      <c r="AJ913" s="2"/>
      <c r="AK913" s="2"/>
      <c r="AL913" s="2"/>
      <c r="AM913" s="2"/>
      <c r="AN913" s="2"/>
      <c r="AO913" s="2"/>
      <c r="AP913" s="2"/>
      <c r="AQ913" s="2"/>
      <c r="AR913" s="2"/>
      <c r="AS913" s="2"/>
      <c r="AT913" s="2"/>
    </row>
    <row r="914" spans="36:46" ht="14.25" customHeight="1">
      <c r="AJ914" s="2"/>
      <c r="AK914" s="2"/>
      <c r="AL914" s="2"/>
      <c r="AM914" s="2"/>
      <c r="AN914" s="2"/>
      <c r="AO914" s="2"/>
      <c r="AP914" s="2"/>
      <c r="AQ914" s="2"/>
      <c r="AR914" s="2"/>
      <c r="AS914" s="2"/>
      <c r="AT914" s="2"/>
    </row>
    <row r="915" spans="36:46" ht="14.25" customHeight="1">
      <c r="AJ915" s="2"/>
      <c r="AK915" s="2"/>
      <c r="AL915" s="2"/>
      <c r="AM915" s="2"/>
      <c r="AN915" s="2"/>
      <c r="AO915" s="2"/>
      <c r="AP915" s="2"/>
      <c r="AQ915" s="2"/>
      <c r="AR915" s="2"/>
      <c r="AS915" s="2"/>
      <c r="AT915" s="2"/>
    </row>
    <row r="916" spans="36:46" ht="14.25" customHeight="1">
      <c r="AJ916" s="2"/>
      <c r="AK916" s="2"/>
      <c r="AL916" s="2"/>
      <c r="AM916" s="2"/>
      <c r="AN916" s="2"/>
      <c r="AO916" s="2"/>
      <c r="AP916" s="2"/>
      <c r="AQ916" s="2"/>
      <c r="AR916" s="2"/>
      <c r="AS916" s="2"/>
      <c r="AT916" s="2"/>
    </row>
    <row r="917" spans="36:46" ht="14.25" customHeight="1">
      <c r="AJ917" s="2"/>
      <c r="AK917" s="2"/>
      <c r="AL917" s="2"/>
      <c r="AM917" s="2"/>
      <c r="AN917" s="2"/>
      <c r="AO917" s="2"/>
      <c r="AP917" s="2"/>
      <c r="AQ917" s="2"/>
      <c r="AR917" s="2"/>
      <c r="AS917" s="2"/>
      <c r="AT917" s="2"/>
    </row>
    <row r="918" spans="36:46" ht="14.25" customHeight="1">
      <c r="AJ918" s="2"/>
      <c r="AK918" s="2"/>
      <c r="AL918" s="2"/>
      <c r="AM918" s="2"/>
      <c r="AN918" s="2"/>
      <c r="AO918" s="2"/>
      <c r="AP918" s="2"/>
      <c r="AQ918" s="2"/>
      <c r="AR918" s="2"/>
      <c r="AS918" s="2"/>
      <c r="AT918" s="2"/>
    </row>
    <row r="919" spans="36:46" ht="14.25" customHeight="1">
      <c r="AJ919" s="2"/>
      <c r="AK919" s="2"/>
      <c r="AL919" s="2"/>
      <c r="AM919" s="2"/>
      <c r="AN919" s="2"/>
      <c r="AO919" s="2"/>
      <c r="AP919" s="2"/>
      <c r="AQ919" s="2"/>
      <c r="AR919" s="2"/>
      <c r="AS919" s="2"/>
      <c r="AT919" s="2"/>
    </row>
    <row r="920" spans="36:46" ht="14.25" customHeight="1">
      <c r="AJ920" s="2"/>
      <c r="AK920" s="2"/>
      <c r="AL920" s="2"/>
      <c r="AM920" s="2"/>
      <c r="AN920" s="2"/>
      <c r="AO920" s="2"/>
      <c r="AP920" s="2"/>
      <c r="AQ920" s="2"/>
      <c r="AR920" s="2"/>
      <c r="AS920" s="2"/>
      <c r="AT920" s="2"/>
    </row>
    <row r="921" spans="36:46" ht="14.25" customHeight="1">
      <c r="AJ921" s="2"/>
      <c r="AK921" s="2"/>
      <c r="AL921" s="2"/>
      <c r="AM921" s="2"/>
      <c r="AN921" s="2"/>
      <c r="AO921" s="2"/>
      <c r="AP921" s="2"/>
      <c r="AQ921" s="2"/>
      <c r="AR921" s="2"/>
      <c r="AS921" s="2"/>
      <c r="AT921" s="2"/>
    </row>
    <row r="922" spans="36:46" ht="14.25" customHeight="1">
      <c r="AJ922" s="2"/>
      <c r="AK922" s="2"/>
      <c r="AL922" s="2"/>
      <c r="AM922" s="2"/>
      <c r="AN922" s="2"/>
      <c r="AO922" s="2"/>
      <c r="AP922" s="2"/>
      <c r="AQ922" s="2"/>
      <c r="AR922" s="2"/>
      <c r="AS922" s="2"/>
      <c r="AT922" s="2"/>
    </row>
    <row r="923" spans="36:46" ht="14.25" customHeight="1">
      <c r="AJ923" s="2"/>
      <c r="AK923" s="2"/>
      <c r="AL923" s="2"/>
      <c r="AM923" s="2"/>
      <c r="AN923" s="2"/>
      <c r="AO923" s="2"/>
      <c r="AP923" s="2"/>
      <c r="AQ923" s="2"/>
      <c r="AR923" s="2"/>
      <c r="AS923" s="2"/>
      <c r="AT923" s="2"/>
    </row>
    <row r="924" spans="36:46" ht="14.25" customHeight="1">
      <c r="AJ924" s="2"/>
      <c r="AK924" s="2"/>
      <c r="AL924" s="2"/>
      <c r="AM924" s="2"/>
      <c r="AN924" s="2"/>
      <c r="AO924" s="2"/>
      <c r="AP924" s="2"/>
      <c r="AQ924" s="2"/>
      <c r="AR924" s="2"/>
      <c r="AS924" s="2"/>
      <c r="AT924" s="2"/>
    </row>
    <row r="925" spans="36:46" ht="14.25" customHeight="1">
      <c r="AJ925" s="2"/>
      <c r="AK925" s="2"/>
      <c r="AL925" s="2"/>
      <c r="AM925" s="2"/>
      <c r="AN925" s="2"/>
      <c r="AO925" s="2"/>
      <c r="AP925" s="2"/>
      <c r="AQ925" s="2"/>
      <c r="AR925" s="2"/>
      <c r="AS925" s="2"/>
      <c r="AT925" s="2"/>
    </row>
    <row r="926" spans="36:46" ht="14.25" customHeight="1">
      <c r="AJ926" s="2"/>
      <c r="AK926" s="2"/>
      <c r="AL926" s="2"/>
      <c r="AM926" s="2"/>
      <c r="AN926" s="2"/>
      <c r="AO926" s="2"/>
      <c r="AP926" s="2"/>
      <c r="AQ926" s="2"/>
      <c r="AR926" s="2"/>
      <c r="AS926" s="2"/>
      <c r="AT926" s="2"/>
    </row>
    <row r="927" spans="36:46" ht="14.25" customHeight="1">
      <c r="AJ927" s="2"/>
      <c r="AK927" s="2"/>
      <c r="AL927" s="2"/>
      <c r="AM927" s="2"/>
      <c r="AN927" s="2"/>
      <c r="AO927" s="2"/>
      <c r="AP927" s="2"/>
      <c r="AQ927" s="2"/>
      <c r="AR927" s="2"/>
      <c r="AS927" s="2"/>
      <c r="AT927" s="2"/>
    </row>
    <row r="928" spans="36:46" ht="14.25" customHeight="1">
      <c r="AJ928" s="2"/>
      <c r="AK928" s="2"/>
      <c r="AL928" s="2"/>
      <c r="AM928" s="2"/>
      <c r="AN928" s="2"/>
      <c r="AO928" s="2"/>
      <c r="AP928" s="2"/>
      <c r="AQ928" s="2"/>
      <c r="AR928" s="2"/>
      <c r="AS928" s="2"/>
      <c r="AT928" s="2"/>
    </row>
    <row r="929" spans="36:46" ht="14.25" customHeight="1">
      <c r="AJ929" s="2"/>
      <c r="AK929" s="2"/>
      <c r="AL929" s="2"/>
      <c r="AM929" s="2"/>
      <c r="AN929" s="2"/>
      <c r="AO929" s="2"/>
      <c r="AP929" s="2"/>
      <c r="AQ929" s="2"/>
      <c r="AR929" s="2"/>
      <c r="AS929" s="2"/>
      <c r="AT929" s="2"/>
    </row>
    <row r="930" spans="36:46" ht="14.25" customHeight="1">
      <c r="AJ930" s="2"/>
      <c r="AK930" s="2"/>
      <c r="AL930" s="2"/>
      <c r="AM930" s="2"/>
      <c r="AN930" s="2"/>
      <c r="AO930" s="2"/>
      <c r="AP930" s="2"/>
      <c r="AQ930" s="2"/>
      <c r="AR930" s="2"/>
      <c r="AS930" s="2"/>
      <c r="AT930" s="2"/>
    </row>
    <row r="931" spans="36:46" ht="14.25" customHeight="1">
      <c r="AJ931" s="2"/>
      <c r="AK931" s="2"/>
      <c r="AL931" s="2"/>
      <c r="AM931" s="2"/>
      <c r="AN931" s="2"/>
      <c r="AO931" s="2"/>
      <c r="AP931" s="2"/>
      <c r="AQ931" s="2"/>
      <c r="AR931" s="2"/>
      <c r="AS931" s="2"/>
      <c r="AT931" s="2"/>
    </row>
    <row r="932" spans="36:46" ht="14.25" customHeight="1">
      <c r="AJ932" s="2"/>
      <c r="AK932" s="2"/>
      <c r="AL932" s="2"/>
      <c r="AM932" s="2"/>
      <c r="AN932" s="2"/>
      <c r="AO932" s="2"/>
      <c r="AP932" s="2"/>
      <c r="AQ932" s="2"/>
      <c r="AR932" s="2"/>
      <c r="AS932" s="2"/>
      <c r="AT932" s="2"/>
    </row>
    <row r="933" spans="36:46" ht="14.25" customHeight="1">
      <c r="AJ933" s="2"/>
      <c r="AK933" s="2"/>
      <c r="AL933" s="2"/>
      <c r="AM933" s="2"/>
      <c r="AN933" s="2"/>
      <c r="AO933" s="2"/>
      <c r="AP933" s="2"/>
      <c r="AQ933" s="2"/>
      <c r="AR933" s="2"/>
      <c r="AS933" s="2"/>
      <c r="AT933" s="2"/>
    </row>
    <row r="934" spans="36:46" ht="14.25" customHeight="1">
      <c r="AJ934" s="2"/>
      <c r="AK934" s="2"/>
      <c r="AL934" s="2"/>
      <c r="AM934" s="2"/>
      <c r="AN934" s="2"/>
      <c r="AO934" s="2"/>
      <c r="AP934" s="2"/>
      <c r="AQ934" s="2"/>
      <c r="AR934" s="2"/>
      <c r="AS934" s="2"/>
      <c r="AT934" s="2"/>
    </row>
    <row r="935" spans="36:46" ht="14.25" customHeight="1">
      <c r="AJ935" s="2"/>
      <c r="AK935" s="2"/>
      <c r="AL935" s="2"/>
      <c r="AM935" s="2"/>
      <c r="AN935" s="2"/>
      <c r="AO935" s="2"/>
      <c r="AP935" s="2"/>
      <c r="AQ935" s="2"/>
      <c r="AR935" s="2"/>
      <c r="AS935" s="2"/>
      <c r="AT935" s="2"/>
    </row>
    <row r="936" spans="36:46" ht="14.25" customHeight="1">
      <c r="AJ936" s="2"/>
      <c r="AK936" s="2"/>
      <c r="AL936" s="2"/>
      <c r="AM936" s="2"/>
      <c r="AN936" s="2"/>
      <c r="AO936" s="2"/>
      <c r="AP936" s="2"/>
      <c r="AQ936" s="2"/>
      <c r="AR936" s="2"/>
      <c r="AS936" s="2"/>
      <c r="AT936" s="2"/>
    </row>
    <row r="937" spans="36:46" ht="14.25" customHeight="1">
      <c r="AJ937" s="2"/>
      <c r="AK937" s="2"/>
      <c r="AL937" s="2"/>
      <c r="AM937" s="2"/>
      <c r="AN937" s="2"/>
      <c r="AO937" s="2"/>
      <c r="AP937" s="2"/>
      <c r="AQ937" s="2"/>
      <c r="AR937" s="2"/>
      <c r="AS937" s="2"/>
      <c r="AT937" s="2"/>
    </row>
    <row r="938" spans="36:46" ht="14.25" customHeight="1">
      <c r="AJ938" s="2"/>
      <c r="AK938" s="2"/>
      <c r="AL938" s="2"/>
      <c r="AM938" s="2"/>
      <c r="AN938" s="2"/>
      <c r="AO938" s="2"/>
      <c r="AP938" s="2"/>
      <c r="AQ938" s="2"/>
      <c r="AR938" s="2"/>
      <c r="AS938" s="2"/>
      <c r="AT938" s="2"/>
    </row>
    <row r="939" spans="36:46" ht="14.25" customHeight="1">
      <c r="AJ939" s="2"/>
      <c r="AK939" s="2"/>
      <c r="AL939" s="2"/>
      <c r="AM939" s="2"/>
      <c r="AN939" s="2"/>
      <c r="AO939" s="2"/>
      <c r="AP939" s="2"/>
      <c r="AQ939" s="2"/>
      <c r="AR939" s="2"/>
      <c r="AS939" s="2"/>
      <c r="AT939" s="2"/>
    </row>
    <row r="940" spans="36:46" ht="14.25" customHeight="1">
      <c r="AJ940" s="2"/>
      <c r="AK940" s="2"/>
      <c r="AL940" s="2"/>
      <c r="AM940" s="2"/>
      <c r="AN940" s="2"/>
      <c r="AO940" s="2"/>
      <c r="AP940" s="2"/>
      <c r="AQ940" s="2"/>
      <c r="AR940" s="2"/>
      <c r="AS940" s="2"/>
      <c r="AT940" s="2"/>
    </row>
    <row r="941" spans="36:46" ht="14.25" customHeight="1">
      <c r="AJ941" s="2"/>
      <c r="AK941" s="2"/>
      <c r="AL941" s="2"/>
      <c r="AM941" s="2"/>
      <c r="AN941" s="2"/>
      <c r="AO941" s="2"/>
      <c r="AP941" s="2"/>
      <c r="AQ941" s="2"/>
      <c r="AR941" s="2"/>
      <c r="AS941" s="2"/>
      <c r="AT941" s="2"/>
    </row>
    <row r="942" spans="36:46" ht="14.25" customHeight="1">
      <c r="AJ942" s="2"/>
      <c r="AK942" s="2"/>
      <c r="AL942" s="2"/>
      <c r="AM942" s="2"/>
      <c r="AN942" s="2"/>
      <c r="AO942" s="2"/>
      <c r="AP942" s="2"/>
      <c r="AQ942" s="2"/>
      <c r="AR942" s="2"/>
      <c r="AS942" s="2"/>
      <c r="AT942" s="2"/>
    </row>
    <row r="943" spans="36:46" ht="14.25" customHeight="1">
      <c r="AJ943" s="2"/>
      <c r="AK943" s="2"/>
      <c r="AL943" s="2"/>
      <c r="AM943" s="2"/>
      <c r="AN943" s="2"/>
      <c r="AO943" s="2"/>
      <c r="AP943" s="2"/>
      <c r="AQ943" s="2"/>
      <c r="AR943" s="2"/>
      <c r="AS943" s="2"/>
      <c r="AT943" s="2"/>
    </row>
    <row r="944" spans="36:46" ht="14.25" customHeight="1">
      <c r="AJ944" s="2"/>
      <c r="AK944" s="2"/>
      <c r="AL944" s="2"/>
      <c r="AM944" s="2"/>
      <c r="AN944" s="2"/>
      <c r="AO944" s="2"/>
      <c r="AP944" s="2"/>
      <c r="AQ944" s="2"/>
      <c r="AR944" s="2"/>
      <c r="AS944" s="2"/>
      <c r="AT944" s="2"/>
    </row>
    <row r="945" spans="36:46" ht="14.25" customHeight="1">
      <c r="AJ945" s="2"/>
      <c r="AK945" s="2"/>
      <c r="AL945" s="2"/>
      <c r="AM945" s="2"/>
      <c r="AN945" s="2"/>
      <c r="AO945" s="2"/>
      <c r="AP945" s="2"/>
      <c r="AQ945" s="2"/>
      <c r="AR945" s="2"/>
      <c r="AS945" s="2"/>
      <c r="AT945" s="2"/>
    </row>
    <row r="946" spans="36:46" ht="14.25" customHeight="1">
      <c r="AJ946" s="2"/>
      <c r="AK946" s="2"/>
      <c r="AL946" s="2"/>
      <c r="AM946" s="2"/>
      <c r="AN946" s="2"/>
      <c r="AO946" s="2"/>
      <c r="AP946" s="2"/>
      <c r="AQ946" s="2"/>
      <c r="AR946" s="2"/>
      <c r="AS946" s="2"/>
      <c r="AT946" s="2"/>
    </row>
    <row r="947" spans="36:46" ht="14.25" customHeight="1">
      <c r="AJ947" s="2"/>
      <c r="AK947" s="2"/>
      <c r="AL947" s="2"/>
      <c r="AM947" s="2"/>
      <c r="AN947" s="2"/>
      <c r="AO947" s="2"/>
      <c r="AP947" s="2"/>
      <c r="AQ947" s="2"/>
      <c r="AR947" s="2"/>
      <c r="AS947" s="2"/>
      <c r="AT947" s="2"/>
    </row>
    <row r="948" spans="36:46" ht="14.25" customHeight="1">
      <c r="AJ948" s="2"/>
      <c r="AK948" s="2"/>
      <c r="AL948" s="2"/>
      <c r="AM948" s="2"/>
      <c r="AN948" s="2"/>
      <c r="AO948" s="2"/>
      <c r="AP948" s="2"/>
      <c r="AQ948" s="2"/>
      <c r="AR948" s="2"/>
      <c r="AS948" s="2"/>
      <c r="AT948" s="2"/>
    </row>
    <row r="949" spans="36:46" ht="14.25" customHeight="1">
      <c r="AJ949" s="2"/>
      <c r="AK949" s="2"/>
      <c r="AL949" s="2"/>
      <c r="AM949" s="2"/>
      <c r="AN949" s="2"/>
      <c r="AO949" s="2"/>
      <c r="AP949" s="2"/>
      <c r="AQ949" s="2"/>
      <c r="AR949" s="2"/>
      <c r="AS949" s="2"/>
      <c r="AT949" s="2"/>
    </row>
    <row r="950" spans="36:46" ht="14.25" customHeight="1">
      <c r="AJ950" s="2"/>
      <c r="AK950" s="2"/>
      <c r="AL950" s="2"/>
      <c r="AM950" s="2"/>
      <c r="AN950" s="2"/>
      <c r="AO950" s="2"/>
      <c r="AP950" s="2"/>
      <c r="AQ950" s="2"/>
      <c r="AR950" s="2"/>
      <c r="AS950" s="2"/>
      <c r="AT950" s="2"/>
    </row>
    <row r="951" spans="36:46" ht="14.25" customHeight="1">
      <c r="AJ951" s="2"/>
      <c r="AK951" s="2"/>
      <c r="AL951" s="2"/>
      <c r="AM951" s="2"/>
      <c r="AN951" s="2"/>
      <c r="AO951" s="2"/>
      <c r="AP951" s="2"/>
      <c r="AQ951" s="2"/>
      <c r="AR951" s="2"/>
      <c r="AS951" s="2"/>
      <c r="AT951" s="2"/>
    </row>
    <row r="952" spans="36:46" ht="14.25" customHeight="1">
      <c r="AJ952" s="2"/>
      <c r="AK952" s="2"/>
      <c r="AL952" s="2"/>
      <c r="AM952" s="2"/>
      <c r="AN952" s="2"/>
      <c r="AO952" s="2"/>
      <c r="AP952" s="2"/>
      <c r="AQ952" s="2"/>
      <c r="AR952" s="2"/>
      <c r="AS952" s="2"/>
      <c r="AT952" s="2"/>
    </row>
    <row r="953" spans="36:46" ht="14.25" customHeight="1">
      <c r="AJ953" s="2"/>
      <c r="AK953" s="2"/>
      <c r="AL953" s="2"/>
      <c r="AM953" s="2"/>
      <c r="AN953" s="2"/>
      <c r="AO953" s="2"/>
      <c r="AP953" s="2"/>
      <c r="AQ953" s="2"/>
      <c r="AR953" s="2"/>
      <c r="AS953" s="2"/>
      <c r="AT953" s="2"/>
    </row>
    <row r="954" spans="36:46" ht="14.25" customHeight="1">
      <c r="AJ954" s="2"/>
      <c r="AK954" s="2"/>
      <c r="AL954" s="2"/>
      <c r="AM954" s="2"/>
      <c r="AN954" s="2"/>
      <c r="AO954" s="2"/>
      <c r="AP954" s="2"/>
      <c r="AQ954" s="2"/>
      <c r="AR954" s="2"/>
      <c r="AS954" s="2"/>
      <c r="AT954" s="2"/>
    </row>
    <row r="955" spans="36:46" ht="14.25" customHeight="1">
      <c r="AJ955" s="2"/>
      <c r="AK955" s="2"/>
      <c r="AL955" s="2"/>
      <c r="AM955" s="2"/>
      <c r="AN955" s="2"/>
      <c r="AO955" s="2"/>
      <c r="AP955" s="2"/>
      <c r="AQ955" s="2"/>
      <c r="AR955" s="2"/>
      <c r="AS955" s="2"/>
      <c r="AT955" s="2"/>
    </row>
    <row r="956" spans="36:46" ht="14.25" customHeight="1">
      <c r="AJ956" s="2"/>
      <c r="AK956" s="2"/>
      <c r="AL956" s="2"/>
      <c r="AM956" s="2"/>
      <c r="AN956" s="2"/>
      <c r="AO956" s="2"/>
      <c r="AP956" s="2"/>
      <c r="AQ956" s="2"/>
      <c r="AR956" s="2"/>
      <c r="AS956" s="2"/>
      <c r="AT956" s="2"/>
    </row>
    <row r="957" spans="36:46" ht="14.25" customHeight="1">
      <c r="AJ957" s="2"/>
      <c r="AK957" s="2"/>
      <c r="AL957" s="2"/>
      <c r="AM957" s="2"/>
      <c r="AN957" s="2"/>
      <c r="AO957" s="2"/>
      <c r="AP957" s="2"/>
      <c r="AQ957" s="2"/>
      <c r="AR957" s="2"/>
      <c r="AS957" s="2"/>
      <c r="AT957" s="2"/>
    </row>
    <row r="958" spans="36:46" ht="14.25" customHeight="1">
      <c r="AJ958" s="2"/>
      <c r="AK958" s="2"/>
      <c r="AL958" s="2"/>
      <c r="AM958" s="2"/>
      <c r="AN958" s="2"/>
      <c r="AO958" s="2"/>
      <c r="AP958" s="2"/>
      <c r="AQ958" s="2"/>
      <c r="AR958" s="2"/>
      <c r="AS958" s="2"/>
      <c r="AT958" s="2"/>
    </row>
    <row r="959" spans="36:46" ht="14.25" customHeight="1">
      <c r="AJ959" s="2"/>
      <c r="AK959" s="2"/>
      <c r="AL959" s="2"/>
      <c r="AM959" s="2"/>
      <c r="AN959" s="2"/>
      <c r="AO959" s="2"/>
      <c r="AP959" s="2"/>
      <c r="AQ959" s="2"/>
      <c r="AR959" s="2"/>
      <c r="AS959" s="2"/>
      <c r="AT959" s="2"/>
    </row>
    <row r="960" spans="36:46" ht="14.25" customHeight="1">
      <c r="AJ960" s="2"/>
      <c r="AK960" s="2"/>
      <c r="AL960" s="2"/>
      <c r="AM960" s="2"/>
      <c r="AN960" s="2"/>
      <c r="AO960" s="2"/>
      <c r="AP960" s="2"/>
      <c r="AQ960" s="2"/>
      <c r="AR960" s="2"/>
      <c r="AS960" s="2"/>
      <c r="AT960" s="2"/>
    </row>
    <row r="961" spans="36:46" ht="14.25" customHeight="1">
      <c r="AJ961" s="2"/>
      <c r="AK961" s="2"/>
      <c r="AL961" s="2"/>
      <c r="AM961" s="2"/>
      <c r="AN961" s="2"/>
      <c r="AO961" s="2"/>
      <c r="AP961" s="2"/>
      <c r="AQ961" s="2"/>
      <c r="AR961" s="2"/>
      <c r="AS961" s="2"/>
      <c r="AT961" s="2"/>
    </row>
    <row r="962" spans="36:46" ht="14.25" customHeight="1">
      <c r="AJ962" s="2"/>
      <c r="AK962" s="2"/>
      <c r="AL962" s="2"/>
      <c r="AM962" s="2"/>
      <c r="AN962" s="2"/>
      <c r="AO962" s="2"/>
      <c r="AP962" s="2"/>
      <c r="AQ962" s="2"/>
      <c r="AR962" s="2"/>
      <c r="AS962" s="2"/>
      <c r="AT962" s="2"/>
    </row>
    <row r="963" spans="36:46" ht="14.25" customHeight="1">
      <c r="AJ963" s="2"/>
      <c r="AK963" s="2"/>
      <c r="AL963" s="2"/>
      <c r="AM963" s="2"/>
      <c r="AN963" s="2"/>
      <c r="AO963" s="2"/>
      <c r="AP963" s="2"/>
      <c r="AQ963" s="2"/>
      <c r="AR963" s="2"/>
      <c r="AS963" s="2"/>
      <c r="AT963" s="2"/>
    </row>
    <row r="964" spans="36:46" ht="14.25" customHeight="1">
      <c r="AJ964" s="2"/>
      <c r="AK964" s="2"/>
      <c r="AL964" s="2"/>
      <c r="AM964" s="2"/>
      <c r="AN964" s="2"/>
      <c r="AO964" s="2"/>
      <c r="AP964" s="2"/>
      <c r="AQ964" s="2"/>
      <c r="AR964" s="2"/>
      <c r="AS964" s="2"/>
      <c r="AT964" s="2"/>
    </row>
    <row r="965" spans="36:46" ht="14.25" customHeight="1">
      <c r="AJ965" s="2"/>
      <c r="AK965" s="2"/>
      <c r="AL965" s="2"/>
      <c r="AM965" s="2"/>
      <c r="AN965" s="2"/>
      <c r="AO965" s="2"/>
      <c r="AP965" s="2"/>
      <c r="AQ965" s="2"/>
      <c r="AR965" s="2"/>
      <c r="AS965" s="2"/>
      <c r="AT965" s="2"/>
    </row>
    <row r="966" spans="36:46" ht="14.25" customHeight="1">
      <c r="AJ966" s="2"/>
      <c r="AK966" s="2"/>
      <c r="AL966" s="2"/>
      <c r="AM966" s="2"/>
      <c r="AN966" s="2"/>
      <c r="AO966" s="2"/>
      <c r="AP966" s="2"/>
      <c r="AQ966" s="2"/>
      <c r="AR966" s="2"/>
      <c r="AS966" s="2"/>
      <c r="AT966" s="2"/>
    </row>
    <row r="967" spans="36:46" ht="14.25" customHeight="1">
      <c r="AJ967" s="2"/>
      <c r="AK967" s="2"/>
      <c r="AL967" s="2"/>
      <c r="AM967" s="2"/>
      <c r="AN967" s="2"/>
      <c r="AO967" s="2"/>
      <c r="AP967" s="2"/>
      <c r="AQ967" s="2"/>
      <c r="AR967" s="2"/>
      <c r="AS967" s="2"/>
      <c r="AT967" s="2"/>
    </row>
    <row r="968" spans="36:46" ht="14.25" customHeight="1">
      <c r="AJ968" s="2"/>
      <c r="AK968" s="2"/>
      <c r="AL968" s="2"/>
      <c r="AM968" s="2"/>
      <c r="AN968" s="2"/>
      <c r="AO968" s="2"/>
      <c r="AP968" s="2"/>
      <c r="AQ968" s="2"/>
      <c r="AR968" s="2"/>
      <c r="AS968" s="2"/>
      <c r="AT968" s="2"/>
    </row>
    <row r="969" spans="36:46" ht="14.25" customHeight="1">
      <c r="AJ969" s="2"/>
      <c r="AK969" s="2"/>
      <c r="AL969" s="2"/>
      <c r="AM969" s="2"/>
      <c r="AN969" s="2"/>
      <c r="AO969" s="2"/>
      <c r="AP969" s="2"/>
      <c r="AQ969" s="2"/>
      <c r="AR969" s="2"/>
      <c r="AS969" s="2"/>
      <c r="AT969" s="2"/>
    </row>
    <row r="970" spans="36:46" ht="14.25" customHeight="1">
      <c r="AJ970" s="2"/>
      <c r="AK970" s="2"/>
      <c r="AL970" s="2"/>
      <c r="AM970" s="2"/>
      <c r="AN970" s="2"/>
      <c r="AO970" s="2"/>
      <c r="AP970" s="2"/>
      <c r="AQ970" s="2"/>
      <c r="AR970" s="2"/>
      <c r="AS970" s="2"/>
      <c r="AT970" s="2"/>
    </row>
    <row r="971" spans="36:46" ht="14.25" customHeight="1">
      <c r="AJ971" s="2"/>
      <c r="AK971" s="2"/>
      <c r="AL971" s="2"/>
      <c r="AM971" s="2"/>
      <c r="AN971" s="2"/>
      <c r="AO971" s="2"/>
      <c r="AP971" s="2"/>
      <c r="AQ971" s="2"/>
      <c r="AR971" s="2"/>
      <c r="AS971" s="2"/>
      <c r="AT971" s="2"/>
    </row>
    <row r="972" spans="36:46" ht="14.25" customHeight="1">
      <c r="AJ972" s="2"/>
      <c r="AK972" s="2"/>
      <c r="AL972" s="2"/>
      <c r="AM972" s="2"/>
      <c r="AN972" s="2"/>
      <c r="AO972" s="2"/>
      <c r="AP972" s="2"/>
      <c r="AQ972" s="2"/>
      <c r="AR972" s="2"/>
      <c r="AS972" s="2"/>
      <c r="AT972" s="2"/>
    </row>
    <row r="973" spans="36:46" ht="14.25" customHeight="1">
      <c r="AJ973" s="2"/>
      <c r="AK973" s="2"/>
      <c r="AL973" s="2"/>
      <c r="AM973" s="2"/>
      <c r="AN973" s="2"/>
      <c r="AO973" s="2"/>
      <c r="AP973" s="2"/>
      <c r="AQ973" s="2"/>
      <c r="AR973" s="2"/>
      <c r="AS973" s="2"/>
      <c r="AT973" s="2"/>
    </row>
    <row r="974" spans="36:46" ht="14.25" customHeight="1">
      <c r="AJ974" s="2"/>
      <c r="AK974" s="2"/>
      <c r="AL974" s="2"/>
      <c r="AM974" s="2"/>
      <c r="AN974" s="2"/>
      <c r="AO974" s="2"/>
      <c r="AP974" s="2"/>
      <c r="AQ974" s="2"/>
      <c r="AR974" s="2"/>
      <c r="AS974" s="2"/>
      <c r="AT974" s="2"/>
    </row>
    <row r="975" spans="36:46" ht="14.25" customHeight="1">
      <c r="AJ975" s="2"/>
      <c r="AK975" s="2"/>
      <c r="AL975" s="2"/>
      <c r="AM975" s="2"/>
      <c r="AN975" s="2"/>
      <c r="AO975" s="2"/>
      <c r="AP975" s="2"/>
      <c r="AQ975" s="2"/>
      <c r="AR975" s="2"/>
      <c r="AS975" s="2"/>
      <c r="AT975" s="2"/>
    </row>
    <row r="976" spans="36:46" ht="14.25" customHeight="1">
      <c r="AJ976" s="2"/>
      <c r="AK976" s="2"/>
      <c r="AL976" s="2"/>
      <c r="AM976" s="2"/>
      <c r="AN976" s="2"/>
      <c r="AO976" s="2"/>
      <c r="AP976" s="2"/>
      <c r="AQ976" s="2"/>
      <c r="AR976" s="2"/>
      <c r="AS976" s="2"/>
      <c r="AT976" s="2"/>
    </row>
    <row r="977" spans="36:46" ht="14.25" customHeight="1">
      <c r="AJ977" s="2"/>
      <c r="AK977" s="2"/>
      <c r="AL977" s="2"/>
      <c r="AM977" s="2"/>
      <c r="AN977" s="2"/>
      <c r="AO977" s="2"/>
      <c r="AP977" s="2"/>
      <c r="AQ977" s="2"/>
      <c r="AR977" s="2"/>
      <c r="AS977" s="2"/>
      <c r="AT977" s="2"/>
    </row>
    <row r="978" spans="36:46" ht="14.25" customHeight="1">
      <c r="AJ978" s="2"/>
      <c r="AK978" s="2"/>
      <c r="AL978" s="2"/>
      <c r="AM978" s="2"/>
      <c r="AN978" s="2"/>
      <c r="AO978" s="2"/>
      <c r="AP978" s="2"/>
      <c r="AQ978" s="2"/>
      <c r="AR978" s="2"/>
      <c r="AS978" s="2"/>
      <c r="AT978" s="2"/>
    </row>
    <row r="979" spans="36:46" ht="14.25" customHeight="1">
      <c r="AJ979" s="2"/>
      <c r="AK979" s="2"/>
      <c r="AL979" s="2"/>
      <c r="AM979" s="2"/>
      <c r="AN979" s="2"/>
      <c r="AO979" s="2"/>
      <c r="AP979" s="2"/>
      <c r="AQ979" s="2"/>
      <c r="AR979" s="2"/>
      <c r="AS979" s="2"/>
      <c r="AT979" s="2"/>
    </row>
  </sheetData>
  <mergeCells count="28">
    <mergeCell ref="AO37:AO39"/>
    <mergeCell ref="AP37:AP39"/>
    <mergeCell ref="AJ37:AJ39"/>
    <mergeCell ref="AK37:AK39"/>
    <mergeCell ref="AL37:AL39"/>
    <mergeCell ref="AM37:AM39"/>
    <mergeCell ref="AN37:AN39"/>
    <mergeCell ref="AQ37:AQ39"/>
    <mergeCell ref="AR37:AR39"/>
    <mergeCell ref="AS37:AS39"/>
    <mergeCell ref="AT37:AT39"/>
    <mergeCell ref="AU37:AU39"/>
    <mergeCell ref="AK28:AK33"/>
    <mergeCell ref="AS28:AS33"/>
    <mergeCell ref="AT28:AT33"/>
    <mergeCell ref="AU28:AU33"/>
    <mergeCell ref="AL28:AL33"/>
    <mergeCell ref="AM28:AM33"/>
    <mergeCell ref="AN28:AN33"/>
    <mergeCell ref="AO28:AO33"/>
    <mergeCell ref="AP28:AP33"/>
    <mergeCell ref="AQ28:AQ33"/>
    <mergeCell ref="AR28:AR33"/>
    <mergeCell ref="E7:AF7"/>
    <mergeCell ref="E8:AA8"/>
    <mergeCell ref="AG10:AG17"/>
    <mergeCell ref="AH10:AH17"/>
    <mergeCell ref="AJ28:AJ33"/>
  </mergeCells>
  <dataValidations count="2">
    <dataValidation type="list" allowBlank="1" showErrorMessage="1" sqref="AV29:BH33 AJ34:BH37 AV38:BH40 AJ10:BH28" xr:uid="{00000000-0002-0000-0000-000000000000}">
      <formula1>"R - Responsible,S - Support,C - Consult,A - Accountable"</formula1>
    </dataValidation>
    <dataValidation type="list" allowBlank="1" showErrorMessage="1" sqref="AJ41:BH64" xr:uid="{00000000-0002-0000-0000-000001000000}">
      <formula1>"D - Do,S - Support,R - Review,A - Accountable"</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B99DE-DFCA-E142-B20A-0DA78A77A217}">
  <dimension ref="A1:BD84"/>
  <sheetViews>
    <sheetView workbookViewId="0">
      <selection activeCell="B5" sqref="B5"/>
    </sheetView>
  </sheetViews>
  <sheetFormatPr baseColWidth="10" defaultColWidth="16.83203125" defaultRowHeight="16"/>
  <cols>
    <col min="1" max="1" width="21.5" style="283" customWidth="1"/>
    <col min="2" max="2" width="67.83203125" customWidth="1"/>
    <col min="3" max="3" width="18.5" customWidth="1"/>
    <col min="4" max="4" width="18.5" style="48" customWidth="1"/>
    <col min="5" max="5" width="18.33203125" customWidth="1"/>
    <col min="6" max="6" width="18" customWidth="1"/>
    <col min="7" max="7" width="22" customWidth="1"/>
    <col min="8" max="19" width="8.83203125" customWidth="1"/>
    <col min="20" max="20" width="8.33203125" style="240" customWidth="1"/>
    <col min="21" max="22" width="8.33203125" customWidth="1"/>
    <col min="23" max="23" width="8.33203125" style="239" customWidth="1"/>
    <col min="24" max="24" width="8.33203125" style="240" customWidth="1"/>
    <col min="25" max="26" width="8.33203125" customWidth="1"/>
    <col min="27" max="27" width="8.33203125" style="239" customWidth="1"/>
    <col min="28" max="28" width="8.33203125" style="240" customWidth="1"/>
    <col min="29" max="30" width="8.33203125" customWidth="1"/>
    <col min="31" max="31" width="8.33203125" style="239" customWidth="1"/>
    <col min="32" max="32" width="8.33203125" style="240" customWidth="1"/>
    <col min="33" max="34" width="8.33203125" customWidth="1"/>
    <col min="35" max="35" width="8.33203125" style="239" customWidth="1"/>
    <col min="36" max="38" width="8.33203125" customWidth="1"/>
    <col min="39" max="39" width="8.33203125" style="239" customWidth="1"/>
    <col min="40" max="42" width="8.33203125" customWidth="1"/>
    <col min="43" max="43" width="8.33203125" style="239" customWidth="1"/>
    <col min="44" max="46" width="8.33203125" customWidth="1"/>
    <col min="47" max="47" width="8.33203125" style="239" customWidth="1"/>
    <col min="48" max="50" width="8.33203125" customWidth="1"/>
    <col min="51" max="51" width="8.33203125" style="239" customWidth="1"/>
    <col min="52" max="54" width="8.33203125" customWidth="1"/>
    <col min="55" max="55" width="8.33203125" style="239" customWidth="1"/>
  </cols>
  <sheetData>
    <row r="1" spans="1:56" s="284" customFormat="1" ht="44" customHeight="1">
      <c r="A1" s="386" t="s">
        <v>166</v>
      </c>
      <c r="B1" s="387"/>
      <c r="C1" s="386"/>
      <c r="D1" s="388"/>
      <c r="E1" s="389"/>
      <c r="F1" s="389"/>
      <c r="G1" s="389"/>
      <c r="H1" s="390"/>
      <c r="I1" s="390"/>
      <c r="J1" s="390"/>
      <c r="K1" s="390"/>
      <c r="L1" s="390"/>
      <c r="M1" s="390"/>
      <c r="N1" s="391"/>
      <c r="O1" s="390"/>
      <c r="P1" s="390"/>
      <c r="Q1" s="390"/>
      <c r="R1" s="390"/>
      <c r="S1" s="392"/>
      <c r="T1" s="393"/>
      <c r="U1" s="392"/>
      <c r="W1" s="285"/>
      <c r="X1" s="286"/>
      <c r="AA1" s="285"/>
      <c r="AB1" s="286"/>
      <c r="AE1" s="285"/>
      <c r="AF1" s="286"/>
      <c r="AI1" s="285"/>
      <c r="AM1" s="285"/>
      <c r="AQ1" s="285"/>
      <c r="AU1" s="285"/>
      <c r="AY1" s="285"/>
      <c r="BC1" s="285"/>
    </row>
    <row r="2" spans="1:56" s="201" customFormat="1" ht="19" customHeight="1">
      <c r="A2" s="201" t="s">
        <v>167</v>
      </c>
      <c r="B2" s="201" t="s">
        <v>168</v>
      </c>
      <c r="D2" s="202"/>
      <c r="S2" s="203"/>
      <c r="T2" s="204"/>
      <c r="W2" s="205"/>
      <c r="X2" s="204"/>
      <c r="AA2" s="205"/>
      <c r="AB2" s="204"/>
      <c r="AE2" s="205"/>
      <c r="AF2" s="204"/>
      <c r="AI2" s="205"/>
      <c r="AM2" s="205"/>
      <c r="AN2" s="206"/>
      <c r="AQ2" s="205"/>
      <c r="AR2" s="206"/>
      <c r="AU2" s="205"/>
      <c r="AV2" s="206"/>
      <c r="AY2" s="205"/>
      <c r="AZ2" s="206"/>
      <c r="BC2" s="205"/>
      <c r="BD2" s="206"/>
    </row>
    <row r="3" spans="1:56" s="200" customFormat="1" ht="41.75" customHeight="1">
      <c r="A3" s="394" t="s">
        <v>169</v>
      </c>
      <c r="B3" s="395" t="s">
        <v>170</v>
      </c>
      <c r="C3" s="396" t="s">
        <v>171</v>
      </c>
      <c r="D3" s="396" t="s">
        <v>172</v>
      </c>
      <c r="E3" s="396" t="s">
        <v>173</v>
      </c>
      <c r="F3" s="396" t="s">
        <v>174</v>
      </c>
      <c r="G3" s="397" t="s">
        <v>175</v>
      </c>
      <c r="H3" s="520" t="s">
        <v>176</v>
      </c>
      <c r="I3" s="521"/>
      <c r="J3" s="521"/>
      <c r="K3" s="521"/>
      <c r="L3" s="522" t="s">
        <v>177</v>
      </c>
      <c r="M3" s="521"/>
      <c r="N3" s="521"/>
      <c r="O3" s="521"/>
      <c r="P3" s="522" t="s">
        <v>178</v>
      </c>
      <c r="Q3" s="521"/>
      <c r="R3" s="521"/>
      <c r="S3" s="521"/>
      <c r="T3" s="523" t="s">
        <v>179</v>
      </c>
      <c r="U3" s="521"/>
      <c r="V3" s="521"/>
      <c r="W3" s="524"/>
      <c r="X3" s="523" t="s">
        <v>180</v>
      </c>
      <c r="Y3" s="521"/>
      <c r="Z3" s="521"/>
      <c r="AA3" s="524"/>
      <c r="AB3" s="523" t="s">
        <v>181</v>
      </c>
      <c r="AC3" s="521"/>
      <c r="AD3" s="521"/>
      <c r="AE3" s="524"/>
      <c r="AF3" s="523" t="s">
        <v>182</v>
      </c>
      <c r="AG3" s="521"/>
      <c r="AH3" s="521"/>
      <c r="AI3" s="524"/>
      <c r="AJ3" s="525" t="s">
        <v>183</v>
      </c>
      <c r="AK3" s="518"/>
      <c r="AL3" s="518"/>
      <c r="AM3" s="519"/>
      <c r="AN3" s="517" t="s">
        <v>184</v>
      </c>
      <c r="AO3" s="518"/>
      <c r="AP3" s="518"/>
      <c r="AQ3" s="519"/>
      <c r="AR3" s="517" t="s">
        <v>185</v>
      </c>
      <c r="AS3" s="518"/>
      <c r="AT3" s="518"/>
      <c r="AU3" s="519"/>
      <c r="AV3" s="517" t="s">
        <v>186</v>
      </c>
      <c r="AW3" s="518"/>
      <c r="AX3" s="518"/>
      <c r="AY3" s="519"/>
      <c r="AZ3" s="517" t="s">
        <v>187</v>
      </c>
      <c r="BA3" s="518"/>
      <c r="BB3" s="518"/>
      <c r="BC3" s="519"/>
    </row>
    <row r="4" spans="1:56" ht="25" customHeight="1">
      <c r="A4" s="207" t="s">
        <v>188</v>
      </c>
      <c r="B4" s="207"/>
      <c r="C4" s="207"/>
      <c r="D4" s="208"/>
      <c r="E4" s="207"/>
      <c r="F4" s="207"/>
      <c r="G4" s="207"/>
      <c r="H4" s="209" t="s">
        <v>189</v>
      </c>
      <c r="I4" s="210" t="s">
        <v>190</v>
      </c>
      <c r="J4" s="210" t="s">
        <v>191</v>
      </c>
      <c r="K4" s="211" t="s">
        <v>192</v>
      </c>
      <c r="L4" s="209" t="s">
        <v>189</v>
      </c>
      <c r="M4" s="210" t="s">
        <v>190</v>
      </c>
      <c r="N4" s="210" t="s">
        <v>191</v>
      </c>
      <c r="O4" s="211" t="s">
        <v>192</v>
      </c>
      <c r="P4" s="209" t="s">
        <v>189</v>
      </c>
      <c r="Q4" s="210" t="s">
        <v>190</v>
      </c>
      <c r="R4" s="210" t="s">
        <v>191</v>
      </c>
      <c r="S4" s="210" t="s">
        <v>192</v>
      </c>
      <c r="T4" s="209" t="s">
        <v>189</v>
      </c>
      <c r="U4" s="210" t="s">
        <v>190</v>
      </c>
      <c r="V4" s="210" t="s">
        <v>191</v>
      </c>
      <c r="W4" s="211" t="s">
        <v>192</v>
      </c>
      <c r="X4" s="209" t="s">
        <v>189</v>
      </c>
      <c r="Y4" s="210" t="s">
        <v>190</v>
      </c>
      <c r="Z4" s="210" t="s">
        <v>191</v>
      </c>
      <c r="AA4" s="211" t="s">
        <v>192</v>
      </c>
      <c r="AB4" s="209" t="s">
        <v>189</v>
      </c>
      <c r="AC4" s="210" t="s">
        <v>190</v>
      </c>
      <c r="AD4" s="210" t="s">
        <v>191</v>
      </c>
      <c r="AE4" s="210" t="s">
        <v>192</v>
      </c>
      <c r="AF4" s="209" t="s">
        <v>189</v>
      </c>
      <c r="AG4" s="210" t="s">
        <v>190</v>
      </c>
      <c r="AH4" s="210" t="s">
        <v>191</v>
      </c>
      <c r="AI4" s="211" t="s">
        <v>192</v>
      </c>
      <c r="AJ4" s="209" t="s">
        <v>189</v>
      </c>
      <c r="AK4" s="210" t="s">
        <v>190</v>
      </c>
      <c r="AL4" s="210" t="s">
        <v>191</v>
      </c>
      <c r="AM4" s="211" t="s">
        <v>192</v>
      </c>
      <c r="AN4" s="209" t="s">
        <v>189</v>
      </c>
      <c r="AO4" s="210" t="s">
        <v>190</v>
      </c>
      <c r="AP4" s="210" t="s">
        <v>191</v>
      </c>
      <c r="AQ4" s="210" t="s">
        <v>192</v>
      </c>
      <c r="AR4" s="209" t="s">
        <v>189</v>
      </c>
      <c r="AS4" s="210" t="s">
        <v>190</v>
      </c>
      <c r="AT4" s="210" t="s">
        <v>191</v>
      </c>
      <c r="AU4" s="211" t="s">
        <v>192</v>
      </c>
      <c r="AV4" s="209" t="s">
        <v>189</v>
      </c>
      <c r="AW4" s="210" t="s">
        <v>190</v>
      </c>
      <c r="AX4" s="210" t="s">
        <v>191</v>
      </c>
      <c r="AY4" s="211" t="s">
        <v>192</v>
      </c>
      <c r="AZ4" s="209" t="s">
        <v>189</v>
      </c>
      <c r="BA4" s="210" t="s">
        <v>190</v>
      </c>
      <c r="BB4" s="210" t="s">
        <v>191</v>
      </c>
      <c r="BC4" s="210" t="s">
        <v>192</v>
      </c>
    </row>
    <row r="5" spans="1:56" s="223" customFormat="1" ht="23" customHeight="1">
      <c r="A5" s="398" t="s">
        <v>193</v>
      </c>
      <c r="B5" s="287" t="s">
        <v>194</v>
      </c>
      <c r="C5" s="213">
        <f>SUM(C6:C26)</f>
        <v>2325.6899999999996</v>
      </c>
      <c r="D5" s="214"/>
      <c r="E5" s="215"/>
      <c r="F5" s="216"/>
      <c r="G5" s="217"/>
      <c r="H5" s="218"/>
      <c r="I5" s="219"/>
      <c r="J5" s="219"/>
      <c r="K5" s="219"/>
      <c r="L5" s="218"/>
      <c r="M5" s="219"/>
      <c r="N5" s="219"/>
      <c r="O5" s="220"/>
      <c r="P5" s="218"/>
      <c r="Q5" s="219"/>
      <c r="R5" s="219"/>
      <c r="S5" s="221"/>
      <c r="T5" s="222"/>
      <c r="U5" s="219"/>
      <c r="W5" s="224"/>
      <c r="X5" s="225"/>
      <c r="AA5" s="224"/>
      <c r="AB5" s="225"/>
      <c r="AE5" s="224"/>
      <c r="AF5" s="225"/>
      <c r="AI5" s="224"/>
      <c r="AM5" s="224"/>
      <c r="AQ5" s="224"/>
      <c r="AU5" s="224"/>
      <c r="AY5" s="224"/>
      <c r="BC5" s="224"/>
    </row>
    <row r="6" spans="1:56" ht="6" hidden="1" customHeight="1">
      <c r="A6" s="399"/>
      <c r="B6" s="226" t="s">
        <v>195</v>
      </c>
      <c r="C6" s="227">
        <v>420</v>
      </c>
      <c r="D6" s="228"/>
      <c r="E6" s="229">
        <v>47609</v>
      </c>
      <c r="F6" s="230">
        <v>47613</v>
      </c>
      <c r="G6" s="231" t="s">
        <v>196</v>
      </c>
      <c r="H6" s="232"/>
      <c r="I6" s="233"/>
      <c r="J6" s="234"/>
      <c r="K6" s="234"/>
      <c r="L6" s="235"/>
      <c r="M6" s="234"/>
      <c r="N6" s="234"/>
      <c r="O6" s="236"/>
      <c r="P6" s="235"/>
      <c r="Q6" s="234"/>
      <c r="R6" s="234"/>
      <c r="S6" s="237"/>
      <c r="T6" s="238"/>
      <c r="U6" s="234"/>
    </row>
    <row r="7" spans="1:56" ht="6" hidden="1" customHeight="1">
      <c r="A7" s="399"/>
      <c r="B7" s="241" t="s">
        <v>197</v>
      </c>
      <c r="C7" s="242">
        <v>16</v>
      </c>
      <c r="D7" s="228"/>
      <c r="E7" s="229">
        <v>47616</v>
      </c>
      <c r="F7" s="230">
        <v>47620</v>
      </c>
      <c r="G7" s="231" t="s">
        <v>198</v>
      </c>
      <c r="H7" s="235"/>
      <c r="I7" s="233"/>
      <c r="J7" s="233"/>
      <c r="K7" s="234"/>
      <c r="L7" s="235"/>
      <c r="M7" s="234"/>
      <c r="N7" s="234"/>
      <c r="O7" s="236"/>
      <c r="P7" s="235"/>
      <c r="Q7" s="234"/>
      <c r="R7" s="234"/>
      <c r="S7" s="237"/>
      <c r="T7" s="238"/>
      <c r="U7" s="234"/>
    </row>
    <row r="8" spans="1:56" ht="6" hidden="1" customHeight="1">
      <c r="A8" s="399"/>
      <c r="B8" s="241" t="s">
        <v>199</v>
      </c>
      <c r="C8" s="242">
        <v>62</v>
      </c>
      <c r="D8" s="243"/>
      <c r="E8" s="229">
        <v>47623</v>
      </c>
      <c r="F8" s="230">
        <v>47627</v>
      </c>
      <c r="G8" s="231" t="s">
        <v>200</v>
      </c>
      <c r="H8" s="235"/>
      <c r="I8" s="234"/>
      <c r="J8" s="233"/>
      <c r="K8" s="234"/>
      <c r="L8" s="235"/>
      <c r="M8" s="234"/>
      <c r="N8" s="234"/>
      <c r="O8" s="236"/>
      <c r="P8" s="235"/>
      <c r="Q8" s="234"/>
      <c r="R8" s="234"/>
      <c r="S8" s="237"/>
      <c r="T8" s="244"/>
      <c r="U8" s="234"/>
    </row>
    <row r="9" spans="1:56" ht="6" hidden="1" customHeight="1">
      <c r="A9" s="399"/>
      <c r="B9" s="241" t="s">
        <v>201</v>
      </c>
      <c r="C9" s="245">
        <v>28.2</v>
      </c>
      <c r="D9" s="228"/>
      <c r="E9" s="246"/>
      <c r="F9" s="247"/>
      <c r="G9" s="248"/>
      <c r="H9" s="235"/>
      <c r="I9" s="234"/>
      <c r="J9" s="234"/>
      <c r="K9" s="233"/>
      <c r="L9" s="235"/>
      <c r="M9" s="234"/>
      <c r="N9" s="234"/>
      <c r="O9" s="236"/>
      <c r="P9" s="235"/>
      <c r="Q9" s="234"/>
      <c r="R9" s="234"/>
      <c r="S9" s="237"/>
      <c r="T9" s="244"/>
      <c r="U9" s="234"/>
    </row>
    <row r="10" spans="1:56" ht="6" hidden="1" customHeight="1">
      <c r="A10" s="399"/>
      <c r="B10" s="241" t="s">
        <v>202</v>
      </c>
      <c r="C10" s="249">
        <v>2.6</v>
      </c>
      <c r="D10" s="228"/>
      <c r="E10" s="246"/>
      <c r="F10" s="247"/>
      <c r="G10" s="248"/>
      <c r="H10" s="235"/>
      <c r="I10" s="234"/>
      <c r="J10" s="234"/>
      <c r="K10" s="250"/>
      <c r="L10" s="251"/>
      <c r="M10" s="233"/>
      <c r="N10" s="233"/>
      <c r="O10" s="236"/>
      <c r="P10" s="235"/>
      <c r="Q10" s="234"/>
      <c r="R10" s="234"/>
      <c r="S10" s="237"/>
      <c r="T10" s="244"/>
      <c r="U10" s="234"/>
    </row>
    <row r="11" spans="1:56" ht="6" hidden="1" customHeight="1">
      <c r="A11" s="399"/>
      <c r="B11" s="241" t="s">
        <v>203</v>
      </c>
      <c r="C11" s="242">
        <v>5</v>
      </c>
      <c r="D11" s="243"/>
      <c r="E11" s="246"/>
      <c r="F11" s="247"/>
      <c r="G11" s="248"/>
      <c r="H11" s="235"/>
      <c r="I11" s="234"/>
      <c r="J11" s="234"/>
      <c r="K11" s="234"/>
      <c r="L11" s="235"/>
      <c r="M11" s="233"/>
      <c r="N11" s="233"/>
      <c r="O11" s="236"/>
      <c r="P11" s="235"/>
      <c r="Q11" s="234"/>
      <c r="R11" s="234"/>
      <c r="S11" s="237"/>
      <c r="T11" s="244"/>
      <c r="U11" s="234"/>
    </row>
    <row r="12" spans="1:56" ht="6" hidden="1" customHeight="1">
      <c r="A12" s="399"/>
      <c r="B12" s="252" t="s">
        <v>204</v>
      </c>
      <c r="C12" s="253">
        <v>220</v>
      </c>
      <c r="D12" s="228"/>
      <c r="E12" s="246"/>
      <c r="F12" s="247"/>
      <c r="G12" s="248"/>
      <c r="H12" s="235"/>
      <c r="I12" s="234"/>
      <c r="J12" s="234"/>
      <c r="K12" s="234"/>
      <c r="L12" s="235"/>
      <c r="M12" s="234"/>
      <c r="N12" s="233"/>
      <c r="O12" s="254"/>
      <c r="P12" s="232"/>
      <c r="Q12" s="234"/>
      <c r="R12" s="234"/>
      <c r="S12" s="237"/>
      <c r="T12" s="244"/>
      <c r="U12" s="234"/>
    </row>
    <row r="13" spans="1:56" ht="6" hidden="1" customHeight="1">
      <c r="A13" s="399"/>
      <c r="B13" s="27" t="s">
        <v>205</v>
      </c>
      <c r="C13" s="255">
        <v>40</v>
      </c>
      <c r="D13" s="228"/>
      <c r="E13" s="246"/>
      <c r="F13" s="247"/>
      <c r="G13" s="248"/>
      <c r="H13" s="235"/>
      <c r="I13" s="234"/>
      <c r="J13" s="234"/>
      <c r="K13" s="234"/>
      <c r="L13" s="235"/>
      <c r="M13" s="234"/>
      <c r="N13" s="234"/>
      <c r="O13" s="236"/>
      <c r="P13" s="232"/>
      <c r="Q13" s="234"/>
      <c r="R13" s="234"/>
      <c r="S13" s="237"/>
      <c r="T13" s="244"/>
      <c r="U13" s="234"/>
    </row>
    <row r="14" spans="1:56" ht="6" hidden="1" customHeight="1">
      <c r="A14" s="399"/>
      <c r="B14" s="27" t="s">
        <v>206</v>
      </c>
      <c r="C14" s="255">
        <v>80</v>
      </c>
      <c r="D14" s="243"/>
      <c r="E14" s="246"/>
      <c r="F14" s="247"/>
      <c r="G14" s="248"/>
      <c r="H14" s="235"/>
      <c r="I14" s="234"/>
      <c r="J14" s="234"/>
      <c r="K14" s="234"/>
      <c r="L14" s="235"/>
      <c r="M14" s="234"/>
      <c r="N14" s="234"/>
      <c r="O14" s="236"/>
      <c r="P14" s="235"/>
      <c r="Q14" s="233"/>
      <c r="R14" s="234"/>
      <c r="S14" s="237"/>
      <c r="T14" s="244"/>
      <c r="U14" s="234"/>
    </row>
    <row r="15" spans="1:56" ht="6" hidden="1" customHeight="1">
      <c r="A15" s="399"/>
      <c r="B15" s="256" t="s">
        <v>207</v>
      </c>
      <c r="C15" s="255">
        <v>230</v>
      </c>
      <c r="D15" s="228"/>
      <c r="E15" s="246"/>
      <c r="F15" s="247"/>
      <c r="G15" s="248"/>
      <c r="H15" s="235"/>
      <c r="I15" s="234"/>
      <c r="J15" s="234"/>
      <c r="K15" s="234"/>
      <c r="L15" s="235"/>
      <c r="M15" s="234"/>
      <c r="N15" s="234"/>
      <c r="O15" s="236"/>
      <c r="P15" s="235"/>
      <c r="Q15" s="233"/>
      <c r="R15" s="233"/>
      <c r="S15" s="237"/>
      <c r="T15" s="244"/>
      <c r="U15" s="237"/>
    </row>
    <row r="16" spans="1:56" ht="6" hidden="1" customHeight="1">
      <c r="A16" s="399"/>
      <c r="B16" s="27" t="s">
        <v>208</v>
      </c>
      <c r="C16" s="255">
        <v>80</v>
      </c>
      <c r="D16" s="228"/>
      <c r="E16" s="246"/>
      <c r="F16" s="247"/>
      <c r="G16" s="248"/>
      <c r="H16" s="235"/>
      <c r="I16" s="234"/>
      <c r="J16" s="234"/>
      <c r="K16" s="234"/>
      <c r="L16" s="235"/>
      <c r="M16" s="234"/>
      <c r="N16" s="234"/>
      <c r="O16" s="236"/>
      <c r="P16" s="235"/>
      <c r="Q16" s="233"/>
      <c r="R16" s="233"/>
      <c r="S16" s="257"/>
      <c r="T16" s="244"/>
      <c r="U16" s="234"/>
    </row>
    <row r="17" spans="1:55" ht="6" hidden="1" customHeight="1">
      <c r="A17" s="399"/>
      <c r="B17" s="27" t="s">
        <v>209</v>
      </c>
      <c r="C17" s="255">
        <v>30</v>
      </c>
      <c r="D17" s="228"/>
      <c r="E17" s="258"/>
      <c r="F17" s="259"/>
      <c r="G17" s="236"/>
      <c r="H17" s="235"/>
      <c r="I17" s="234"/>
      <c r="J17" s="234"/>
      <c r="K17" s="234"/>
      <c r="L17" s="235"/>
      <c r="M17" s="234"/>
      <c r="N17" s="234"/>
      <c r="O17" s="236"/>
      <c r="P17" s="235"/>
      <c r="Q17" s="234"/>
      <c r="R17" s="234"/>
      <c r="S17" s="237"/>
      <c r="T17" s="244"/>
      <c r="U17" s="234"/>
    </row>
    <row r="18" spans="1:55" ht="6" hidden="1" customHeight="1">
      <c r="A18" s="399"/>
      <c r="B18" s="27" t="s">
        <v>210</v>
      </c>
      <c r="C18" s="245">
        <v>26.984999999999999</v>
      </c>
      <c r="D18" s="228"/>
      <c r="E18" s="258"/>
      <c r="F18" s="259"/>
      <c r="G18" s="236"/>
      <c r="H18" s="235"/>
      <c r="I18" s="234"/>
      <c r="J18" s="234"/>
      <c r="K18" s="234"/>
      <c r="L18" s="235"/>
      <c r="M18" s="234"/>
      <c r="N18" s="234"/>
      <c r="O18" s="236"/>
      <c r="P18" s="235"/>
      <c r="Q18" s="234"/>
      <c r="R18" s="234"/>
      <c r="S18" s="237"/>
      <c r="T18" s="244"/>
      <c r="U18" s="234"/>
    </row>
    <row r="19" spans="1:55" ht="6" hidden="1" customHeight="1">
      <c r="A19" s="399"/>
      <c r="B19" s="27" t="s">
        <v>211</v>
      </c>
      <c r="C19" s="245">
        <v>26.984999999999999</v>
      </c>
      <c r="D19" s="228"/>
      <c r="E19" s="258"/>
      <c r="F19" s="259"/>
      <c r="G19" s="236"/>
      <c r="H19" s="235"/>
      <c r="I19" s="234"/>
      <c r="J19" s="234"/>
      <c r="K19" s="234"/>
      <c r="L19" s="235"/>
      <c r="M19" s="234"/>
      <c r="N19" s="234"/>
      <c r="O19" s="236"/>
      <c r="P19" s="235"/>
      <c r="Q19" s="234"/>
      <c r="R19" s="234"/>
      <c r="S19" s="237"/>
      <c r="T19" s="244"/>
      <c r="U19" s="234"/>
    </row>
    <row r="20" spans="1:55" ht="6" hidden="1" customHeight="1">
      <c r="A20" s="399"/>
      <c r="B20" s="252" t="s">
        <v>212</v>
      </c>
      <c r="C20" s="255">
        <v>86.32</v>
      </c>
      <c r="D20" s="228"/>
      <c r="E20" s="258"/>
      <c r="F20" s="259"/>
      <c r="G20" s="236"/>
      <c r="H20" s="235"/>
      <c r="I20" s="234"/>
      <c r="J20" s="234"/>
      <c r="K20" s="234"/>
      <c r="L20" s="235"/>
      <c r="M20" s="234"/>
      <c r="N20" s="234"/>
      <c r="O20" s="236"/>
      <c r="P20" s="235"/>
      <c r="Q20" s="234"/>
      <c r="R20" s="234"/>
      <c r="S20" s="237"/>
      <c r="T20" s="244"/>
      <c r="U20" s="234"/>
    </row>
    <row r="21" spans="1:55" ht="6" hidden="1" customHeight="1">
      <c r="A21" s="399"/>
      <c r="B21" s="27" t="s">
        <v>213</v>
      </c>
      <c r="C21" s="255">
        <v>80</v>
      </c>
      <c r="D21" s="260"/>
      <c r="E21" s="261"/>
      <c r="F21" s="262"/>
      <c r="G21" s="263"/>
      <c r="H21" s="235"/>
      <c r="I21" s="234"/>
      <c r="J21" s="234"/>
      <c r="K21" s="234"/>
      <c r="L21" s="235"/>
      <c r="M21" s="234"/>
      <c r="N21" s="234"/>
      <c r="O21" s="236"/>
      <c r="P21" s="235"/>
      <c r="Q21" s="234"/>
      <c r="R21" s="234"/>
      <c r="S21" s="237"/>
      <c r="T21" s="244"/>
      <c r="U21" s="234"/>
    </row>
    <row r="22" spans="1:55" ht="6" hidden="1" customHeight="1">
      <c r="A22" s="399"/>
      <c r="B22" s="27" t="s">
        <v>214</v>
      </c>
      <c r="C22" s="255">
        <v>32</v>
      </c>
      <c r="D22" s="228"/>
      <c r="E22" s="258"/>
      <c r="F22" s="259"/>
      <c r="G22" s="236"/>
      <c r="H22" s="235"/>
      <c r="I22" s="234"/>
      <c r="J22" s="234"/>
      <c r="K22" s="234"/>
      <c r="L22" s="235"/>
      <c r="M22" s="234"/>
      <c r="N22" s="234"/>
      <c r="O22" s="236"/>
      <c r="P22" s="235"/>
      <c r="Q22" s="234"/>
      <c r="R22" s="234"/>
      <c r="S22" s="237"/>
      <c r="T22" s="244"/>
      <c r="U22" s="234"/>
    </row>
    <row r="23" spans="1:55" ht="6" hidden="1" customHeight="1">
      <c r="A23" s="399"/>
      <c r="B23" s="256" t="s">
        <v>215</v>
      </c>
      <c r="C23" s="255">
        <v>250</v>
      </c>
      <c r="D23" s="228"/>
      <c r="E23" s="258"/>
      <c r="F23" s="259"/>
      <c r="G23" s="236"/>
      <c r="H23" s="235"/>
      <c r="I23" s="234"/>
      <c r="J23" s="234"/>
      <c r="K23" s="234"/>
      <c r="L23" s="235"/>
      <c r="M23" s="234"/>
      <c r="N23" s="234"/>
      <c r="O23" s="236"/>
      <c r="P23" s="235"/>
      <c r="Q23" s="234"/>
      <c r="R23" s="234"/>
      <c r="S23" s="237"/>
      <c r="T23" s="244"/>
      <c r="U23" s="234"/>
    </row>
    <row r="24" spans="1:55" ht="6" hidden="1" customHeight="1">
      <c r="A24" s="399"/>
      <c r="B24" s="27" t="s">
        <v>216</v>
      </c>
      <c r="C24" s="264"/>
      <c r="D24" s="228"/>
      <c r="E24" s="258"/>
      <c r="F24" s="259"/>
      <c r="G24" s="236"/>
      <c r="H24" s="235"/>
      <c r="I24" s="234"/>
      <c r="J24" s="234"/>
      <c r="K24" s="234"/>
      <c r="L24" s="235"/>
      <c r="M24" s="234"/>
      <c r="N24" s="234"/>
      <c r="O24" s="236"/>
      <c r="P24" s="235"/>
      <c r="Q24" s="234"/>
      <c r="R24" s="234"/>
      <c r="S24" s="237"/>
      <c r="T24" s="244"/>
      <c r="U24" s="234"/>
    </row>
    <row r="25" spans="1:55" ht="17" hidden="1" customHeight="1">
      <c r="A25" s="399"/>
      <c r="B25" s="265" t="s">
        <v>217</v>
      </c>
      <c r="C25" s="266">
        <v>9.6</v>
      </c>
      <c r="D25" s="228"/>
      <c r="E25" s="258"/>
      <c r="F25" s="259"/>
      <c r="G25" s="236"/>
      <c r="H25" s="235"/>
      <c r="I25" s="234"/>
      <c r="J25" s="234"/>
      <c r="K25" s="234"/>
      <c r="L25" s="235"/>
      <c r="M25" s="234"/>
      <c r="N25" s="234"/>
      <c r="O25" s="236"/>
      <c r="P25" s="235"/>
      <c r="Q25" s="234"/>
      <c r="R25" s="234"/>
      <c r="S25" s="237"/>
      <c r="T25" s="244"/>
      <c r="U25" s="234"/>
    </row>
    <row r="26" spans="1:55" ht="28" customHeight="1">
      <c r="A26" s="399"/>
      <c r="B26" s="267" t="s">
        <v>218</v>
      </c>
      <c r="C26" s="268">
        <v>600</v>
      </c>
      <c r="D26" s="228"/>
      <c r="E26" s="258"/>
      <c r="F26" s="259"/>
      <c r="G26" s="236"/>
      <c r="H26" s="235"/>
      <c r="I26" s="234"/>
      <c r="J26" s="234"/>
      <c r="K26" s="234"/>
      <c r="L26" s="235"/>
      <c r="M26" s="234"/>
      <c r="N26" s="234"/>
      <c r="O26" s="236"/>
      <c r="P26" s="235"/>
      <c r="Q26" s="234"/>
      <c r="R26" s="234"/>
      <c r="S26" s="237"/>
      <c r="T26" s="244"/>
      <c r="U26" s="234"/>
    </row>
    <row r="27" spans="1:55" s="223" customFormat="1" ht="26" customHeight="1">
      <c r="A27" s="399"/>
      <c r="B27" s="212" t="s">
        <v>219</v>
      </c>
      <c r="C27" s="213">
        <f>SUM(C28:C36)</f>
        <v>33069.5</v>
      </c>
      <c r="D27" s="214"/>
      <c r="E27" s="269"/>
      <c r="F27" s="270"/>
      <c r="G27" s="220"/>
      <c r="H27" s="218"/>
      <c r="I27" s="219"/>
      <c r="J27" s="219"/>
      <c r="K27" s="219"/>
      <c r="L27" s="218"/>
      <c r="M27" s="219"/>
      <c r="N27" s="219"/>
      <c r="O27" s="220"/>
      <c r="P27" s="218"/>
      <c r="Q27" s="219"/>
      <c r="R27" s="219"/>
      <c r="S27" s="221"/>
      <c r="T27" s="222"/>
      <c r="U27" s="219"/>
      <c r="W27" s="224"/>
      <c r="X27" s="225"/>
      <c r="AA27" s="224"/>
      <c r="AB27" s="225"/>
      <c r="AE27" s="224"/>
      <c r="AF27" s="225"/>
      <c r="AI27" s="224"/>
      <c r="AM27" s="224"/>
      <c r="AQ27" s="224"/>
      <c r="AU27" s="224"/>
      <c r="AY27" s="224"/>
      <c r="BC27" s="224"/>
    </row>
    <row r="28" spans="1:55" ht="28" customHeight="1">
      <c r="A28" s="399"/>
      <c r="B28" s="271" t="s">
        <v>220</v>
      </c>
      <c r="C28" s="272">
        <v>19725</v>
      </c>
      <c r="D28" s="228"/>
      <c r="E28" s="258"/>
      <c r="F28" s="259"/>
      <c r="G28" s="236"/>
      <c r="H28" s="235"/>
      <c r="I28" s="234"/>
      <c r="J28" s="234"/>
      <c r="K28" s="234"/>
      <c r="L28" s="235"/>
      <c r="M28" s="234"/>
      <c r="N28" s="234"/>
      <c r="O28" s="236"/>
      <c r="P28" s="235"/>
      <c r="Q28" s="234"/>
      <c r="R28" s="234"/>
      <c r="S28" s="237"/>
      <c r="T28" s="244"/>
      <c r="U28" s="234"/>
    </row>
    <row r="29" spans="1:55" ht="36.75" customHeight="1">
      <c r="A29" s="399"/>
      <c r="B29" s="271" t="s">
        <v>221</v>
      </c>
      <c r="C29" s="273">
        <v>2311.36</v>
      </c>
      <c r="D29" s="228" t="s">
        <v>222</v>
      </c>
      <c r="E29" s="258"/>
      <c r="F29" s="259"/>
      <c r="G29" s="236"/>
      <c r="H29" s="235"/>
      <c r="I29" s="234"/>
      <c r="J29" s="234"/>
      <c r="K29" s="234"/>
      <c r="L29" s="235"/>
      <c r="M29" s="234"/>
      <c r="N29" s="234"/>
      <c r="O29" s="236"/>
      <c r="P29" s="235"/>
      <c r="Q29" s="234"/>
      <c r="R29" s="234"/>
      <c r="S29" s="237"/>
      <c r="T29" s="244"/>
      <c r="U29" s="234"/>
    </row>
    <row r="30" spans="1:55" ht="26" customHeight="1">
      <c r="A30" s="399"/>
      <c r="B30" s="274" t="s">
        <v>223</v>
      </c>
      <c r="C30" s="273">
        <v>3688.64</v>
      </c>
      <c r="D30" s="228"/>
      <c r="E30" s="258"/>
      <c r="F30" s="259"/>
      <c r="G30" s="236"/>
      <c r="H30" s="235"/>
      <c r="I30" s="234"/>
      <c r="J30" s="234"/>
      <c r="K30" s="234"/>
      <c r="L30" s="235"/>
      <c r="M30" s="234"/>
      <c r="N30" s="234"/>
      <c r="O30" s="236"/>
      <c r="P30" s="235"/>
      <c r="Q30" s="234"/>
      <c r="R30" s="234"/>
      <c r="S30" s="237"/>
      <c r="T30" s="244"/>
      <c r="U30" s="234"/>
    </row>
    <row r="31" spans="1:55" ht="30" customHeight="1">
      <c r="A31" s="399"/>
      <c r="B31" s="271" t="s">
        <v>224</v>
      </c>
      <c r="C31" s="273">
        <v>2000</v>
      </c>
      <c r="D31" s="228"/>
      <c r="E31" s="258"/>
      <c r="F31" s="259"/>
      <c r="G31" s="236"/>
      <c r="H31" s="235"/>
      <c r="I31" s="234"/>
      <c r="J31" s="234"/>
      <c r="K31" s="234"/>
      <c r="L31" s="235"/>
      <c r="M31" s="234"/>
      <c r="N31" s="234"/>
      <c r="O31" s="236"/>
      <c r="P31" s="235"/>
      <c r="Q31" s="234"/>
      <c r="R31" s="234"/>
      <c r="S31" s="237"/>
      <c r="T31" s="244"/>
      <c r="U31" s="234"/>
    </row>
    <row r="32" spans="1:55" ht="29" customHeight="1">
      <c r="A32" s="399"/>
      <c r="B32" s="271" t="s">
        <v>225</v>
      </c>
      <c r="C32" s="273">
        <v>800</v>
      </c>
      <c r="D32" s="228"/>
      <c r="E32" s="258"/>
      <c r="F32" s="259"/>
      <c r="G32" s="236"/>
      <c r="H32" s="235"/>
      <c r="I32" s="234"/>
      <c r="J32" s="234"/>
      <c r="K32" s="234"/>
      <c r="L32" s="235"/>
      <c r="M32" s="234"/>
      <c r="N32" s="234"/>
      <c r="O32" s="236"/>
      <c r="P32" s="235"/>
      <c r="Q32" s="234"/>
      <c r="R32" s="234"/>
      <c r="S32" s="237"/>
      <c r="T32" s="244"/>
      <c r="U32" s="234"/>
    </row>
    <row r="33" spans="1:21" ht="23" customHeight="1">
      <c r="A33" s="399"/>
      <c r="B33" s="271" t="s">
        <v>226</v>
      </c>
      <c r="C33" s="273">
        <v>2000</v>
      </c>
      <c r="D33" s="228"/>
      <c r="E33" s="258"/>
      <c r="F33" s="259"/>
      <c r="G33" s="236"/>
      <c r="H33" s="235"/>
      <c r="I33" s="234"/>
      <c r="J33" s="234"/>
      <c r="K33" s="234"/>
      <c r="L33" s="235"/>
      <c r="M33" s="234"/>
      <c r="N33" s="234"/>
      <c r="O33" s="236"/>
      <c r="P33" s="235"/>
      <c r="Q33" s="234"/>
      <c r="R33" s="234"/>
      <c r="S33" s="237"/>
      <c r="T33" s="244"/>
      <c r="U33" s="234"/>
    </row>
    <row r="34" spans="1:21" ht="36.75" customHeight="1">
      <c r="A34" s="399"/>
      <c r="B34" s="252" t="s">
        <v>227</v>
      </c>
      <c r="C34" s="273">
        <v>1644.5</v>
      </c>
      <c r="D34" s="228"/>
      <c r="E34" s="258"/>
      <c r="F34" s="259"/>
      <c r="G34" s="236"/>
      <c r="H34" s="235"/>
      <c r="I34" s="234"/>
      <c r="J34" s="234"/>
      <c r="K34" s="234"/>
      <c r="L34" s="235"/>
      <c r="M34" s="234"/>
      <c r="N34" s="234"/>
      <c r="O34" s="236"/>
      <c r="P34" s="235"/>
      <c r="Q34" s="234"/>
      <c r="R34" s="234"/>
      <c r="S34" s="237"/>
      <c r="T34" s="244"/>
      <c r="U34" s="234"/>
    </row>
    <row r="35" spans="1:21" ht="22" customHeight="1">
      <c r="A35" s="399"/>
      <c r="B35" s="252" t="s">
        <v>228</v>
      </c>
      <c r="C35" s="273"/>
      <c r="D35" s="228" t="s">
        <v>45</v>
      </c>
      <c r="E35" s="258"/>
      <c r="F35" s="259"/>
      <c r="G35" s="236"/>
      <c r="H35" s="235"/>
      <c r="I35" s="234"/>
      <c r="J35" s="234"/>
      <c r="K35" s="234"/>
      <c r="L35" s="235"/>
      <c r="M35" s="234"/>
      <c r="N35" s="234"/>
      <c r="O35" s="236"/>
      <c r="P35" s="235"/>
      <c r="Q35" s="234"/>
      <c r="R35" s="234"/>
      <c r="S35" s="237"/>
      <c r="T35" s="244"/>
      <c r="U35" s="234"/>
    </row>
    <row r="36" spans="1:21" ht="26" customHeight="1">
      <c r="A36" s="399"/>
      <c r="B36" s="252" t="s">
        <v>229</v>
      </c>
      <c r="C36" s="273">
        <v>900</v>
      </c>
      <c r="D36" s="228"/>
      <c r="E36" s="258"/>
      <c r="F36" s="259"/>
      <c r="G36" s="236"/>
      <c r="H36" s="235"/>
      <c r="I36" s="234"/>
      <c r="J36" s="234"/>
      <c r="K36" s="234"/>
      <c r="L36" s="235"/>
      <c r="M36" s="234"/>
      <c r="N36" s="234"/>
      <c r="O36" s="236"/>
      <c r="P36" s="235"/>
      <c r="Q36" s="234"/>
      <c r="R36" s="234"/>
      <c r="S36" s="237"/>
      <c r="T36" s="244"/>
      <c r="U36" s="234"/>
    </row>
    <row r="37" spans="1:21" ht="28" customHeight="1">
      <c r="A37" s="399"/>
      <c r="B37" s="275" t="s">
        <v>230</v>
      </c>
      <c r="C37" s="276"/>
      <c r="D37" s="228" t="s">
        <v>231</v>
      </c>
      <c r="E37" s="258"/>
      <c r="F37" s="259"/>
      <c r="G37" s="236"/>
      <c r="H37" s="235"/>
      <c r="I37" s="234"/>
      <c r="J37" s="234"/>
      <c r="K37" s="234"/>
      <c r="L37" s="235"/>
      <c r="M37" s="234"/>
      <c r="N37" s="234"/>
      <c r="O37" s="236"/>
      <c r="P37" s="235"/>
      <c r="Q37" s="234"/>
      <c r="R37" s="234"/>
      <c r="S37" s="237"/>
      <c r="T37" s="244"/>
      <c r="U37" s="234"/>
    </row>
    <row r="38" spans="1:21" ht="29" customHeight="1">
      <c r="A38" s="399"/>
      <c r="B38" s="277" t="s">
        <v>232</v>
      </c>
      <c r="C38" s="278"/>
      <c r="D38" s="48" t="s">
        <v>45</v>
      </c>
    </row>
    <row r="39" spans="1:21" ht="29" customHeight="1">
      <c r="A39" s="399"/>
      <c r="B39" s="279" t="s">
        <v>233</v>
      </c>
      <c r="C39" s="278">
        <v>1200</v>
      </c>
    </row>
    <row r="40" spans="1:21" ht="19" customHeight="1">
      <c r="A40" s="399"/>
      <c r="B40" s="212" t="s">
        <v>234</v>
      </c>
      <c r="C40" s="278"/>
    </row>
    <row r="41" spans="1:21" ht="29" customHeight="1">
      <c r="A41" s="399"/>
      <c r="B41" s="279" t="s">
        <v>235</v>
      </c>
      <c r="C41" s="278"/>
      <c r="D41" s="48" t="s">
        <v>236</v>
      </c>
    </row>
    <row r="42" spans="1:21" ht="29" customHeight="1">
      <c r="A42" s="399"/>
      <c r="B42" s="279" t="s">
        <v>237</v>
      </c>
      <c r="C42" s="278"/>
      <c r="D42" s="48" t="s">
        <v>238</v>
      </c>
    </row>
    <row r="43" spans="1:21" ht="29" customHeight="1">
      <c r="A43" s="399"/>
      <c r="B43" s="279" t="s">
        <v>239</v>
      </c>
      <c r="C43" s="278"/>
    </row>
    <row r="44" spans="1:21" ht="29" customHeight="1">
      <c r="A44" s="399"/>
      <c r="B44" s="212" t="s">
        <v>240</v>
      </c>
      <c r="C44" s="278"/>
    </row>
    <row r="45" spans="1:21" ht="26" customHeight="1">
      <c r="A45" s="399" t="s">
        <v>241</v>
      </c>
      <c r="B45" s="280" t="str">
        <f>A45</f>
        <v>BFT (Bitexco Financial Tower)</v>
      </c>
      <c r="C45" s="278">
        <f>[1]BFT!K41</f>
        <v>3608</v>
      </c>
    </row>
    <row r="46" spans="1:21" ht="9" customHeight="1">
      <c r="A46" s="399"/>
      <c r="B46" s="280"/>
      <c r="C46" s="278"/>
    </row>
    <row r="47" spans="1:21" ht="9" customHeight="1">
      <c r="A47" s="399"/>
      <c r="B47" s="280"/>
      <c r="C47" s="278"/>
    </row>
    <row r="48" spans="1:21" ht="33" customHeight="1">
      <c r="A48" s="399" t="s">
        <v>242</v>
      </c>
      <c r="B48" s="280" t="str">
        <f t="shared" ref="B48:B55" si="0">A48</f>
        <v>MINH QUANG (HN/HCM)</v>
      </c>
      <c r="C48" s="278"/>
    </row>
    <row r="49" spans="1:3" ht="25" customHeight="1">
      <c r="A49" s="399"/>
      <c r="B49" s="279" t="s">
        <v>243</v>
      </c>
      <c r="C49" s="281"/>
    </row>
    <row r="50" spans="1:3" ht="25" customHeight="1">
      <c r="A50" s="399"/>
      <c r="B50" s="279" t="s">
        <v>244</v>
      </c>
      <c r="C50" s="273">
        <v>1000</v>
      </c>
    </row>
    <row r="51" spans="1:3" ht="25" customHeight="1">
      <c r="A51" s="399"/>
      <c r="B51" s="279" t="s">
        <v>245</v>
      </c>
      <c r="C51" s="278"/>
    </row>
    <row r="52" spans="1:3" ht="25" customHeight="1">
      <c r="A52" s="399"/>
      <c r="B52" s="279" t="s">
        <v>246</v>
      </c>
      <c r="C52" s="278"/>
    </row>
    <row r="53" spans="1:3" ht="25" customHeight="1">
      <c r="A53" s="399" t="s">
        <v>247</v>
      </c>
      <c r="B53" s="280" t="str">
        <f t="shared" si="0"/>
        <v>THE GARDEN</v>
      </c>
      <c r="C53" s="278">
        <f>[1]TheGarden!D49</f>
        <v>3176.74</v>
      </c>
    </row>
    <row r="54" spans="1:3" ht="25" customHeight="1">
      <c r="A54" s="399"/>
      <c r="B54" s="280"/>
      <c r="C54" s="278"/>
    </row>
    <row r="55" spans="1:3" ht="33" customHeight="1">
      <c r="A55" s="399" t="s">
        <v>248</v>
      </c>
      <c r="B55" s="280" t="str">
        <f t="shared" si="0"/>
        <v>BIGCAPITAL (HN/HCM/GLOBAL/Enrg)</v>
      </c>
      <c r="C55" s="278"/>
    </row>
    <row r="56" spans="1:3" ht="17" customHeight="1">
      <c r="A56" s="399"/>
      <c r="B56" s="279" t="s">
        <v>249</v>
      </c>
      <c r="C56" s="281"/>
    </row>
    <row r="57" spans="1:3" ht="17" customHeight="1">
      <c r="A57" s="399"/>
      <c r="B57" s="281" t="s">
        <v>250</v>
      </c>
      <c r="C57" s="281"/>
    </row>
    <row r="58" spans="1:3" ht="17" customHeight="1">
      <c r="A58" s="399"/>
      <c r="B58" s="281" t="s">
        <v>251</v>
      </c>
      <c r="C58" s="281"/>
    </row>
    <row r="59" spans="1:3" ht="17" customHeight="1">
      <c r="A59" s="399"/>
      <c r="B59" s="281" t="s">
        <v>252</v>
      </c>
      <c r="C59" s="281"/>
    </row>
    <row r="60" spans="1:3" ht="25" customHeight="1">
      <c r="A60" s="399" t="s">
        <v>253</v>
      </c>
      <c r="B60" s="280" t="str">
        <f>A60</f>
        <v>BITEXCO ENERGY (HN/HCM)</v>
      </c>
      <c r="C60" s="281"/>
    </row>
    <row r="61" spans="1:3" ht="15" customHeight="1">
      <c r="A61" s="399"/>
      <c r="B61" s="279" t="s">
        <v>254</v>
      </c>
      <c r="C61" s="281"/>
    </row>
    <row r="62" spans="1:3" ht="15" customHeight="1">
      <c r="A62" s="399"/>
      <c r="B62" s="279" t="s">
        <v>249</v>
      </c>
      <c r="C62" s="281"/>
    </row>
    <row r="63" spans="1:3" ht="15" customHeight="1">
      <c r="A63" s="399"/>
      <c r="B63" s="281" t="s">
        <v>250</v>
      </c>
      <c r="C63" s="281"/>
    </row>
    <row r="64" spans="1:3" ht="15" customHeight="1">
      <c r="A64" s="399"/>
      <c r="B64" s="281" t="s">
        <v>255</v>
      </c>
      <c r="C64" s="281"/>
    </row>
    <row r="65" spans="1:3" ht="15" customHeight="1">
      <c r="A65" s="399"/>
      <c r="B65" s="281" t="s">
        <v>252</v>
      </c>
      <c r="C65" s="281"/>
    </row>
    <row r="66" spans="1:3" ht="20" customHeight="1">
      <c r="A66" s="399" t="s">
        <v>256</v>
      </c>
      <c r="B66" s="282" t="str">
        <f>A66</f>
        <v>DIAMOND</v>
      </c>
      <c r="C66" s="281"/>
    </row>
    <row r="67" spans="1:3" ht="21" customHeight="1">
      <c r="A67" s="399"/>
      <c r="B67" s="281" t="s">
        <v>257</v>
      </c>
      <c r="C67" s="281"/>
    </row>
    <row r="68" spans="1:3" ht="33" customHeight="1">
      <c r="A68" s="399"/>
      <c r="B68" s="281"/>
      <c r="C68" s="281"/>
    </row>
    <row r="69" spans="1:3" ht="33" customHeight="1">
      <c r="A69" s="282"/>
      <c r="B69" s="281"/>
      <c r="C69" s="281"/>
    </row>
    <row r="70" spans="1:3" ht="33" customHeight="1">
      <c r="A70" s="282"/>
      <c r="B70" s="281"/>
      <c r="C70" s="281"/>
    </row>
    <row r="71" spans="1:3" ht="33" customHeight="1">
      <c r="A71" s="282"/>
      <c r="B71" s="281"/>
      <c r="C71" s="281"/>
    </row>
    <row r="72" spans="1:3" ht="33" customHeight="1">
      <c r="A72" s="282"/>
      <c r="B72" s="281"/>
      <c r="C72" s="281"/>
    </row>
    <row r="73" spans="1:3" ht="33" customHeight="1">
      <c r="A73" s="282"/>
      <c r="B73" s="281"/>
      <c r="C73" s="281"/>
    </row>
    <row r="74" spans="1:3" ht="33" customHeight="1">
      <c r="A74" s="282"/>
      <c r="B74" s="281"/>
      <c r="C74" s="281"/>
    </row>
    <row r="75" spans="1:3" ht="33" customHeight="1">
      <c r="A75" s="282"/>
      <c r="B75" s="281"/>
      <c r="C75" s="281"/>
    </row>
    <row r="76" spans="1:3" ht="33" customHeight="1">
      <c r="A76" s="282"/>
      <c r="B76" s="281"/>
      <c r="C76" s="281"/>
    </row>
    <row r="77" spans="1:3" ht="33" customHeight="1">
      <c r="A77" s="282"/>
      <c r="B77" s="281"/>
      <c r="C77" s="281"/>
    </row>
    <row r="78" spans="1:3" ht="33" customHeight="1">
      <c r="A78" s="282"/>
      <c r="B78" s="281"/>
      <c r="C78" s="281"/>
    </row>
    <row r="79" spans="1:3" ht="33" customHeight="1">
      <c r="A79" s="282"/>
      <c r="B79" s="281"/>
      <c r="C79" s="281"/>
    </row>
    <row r="80" spans="1:3" ht="33" customHeight="1">
      <c r="A80" s="282"/>
      <c r="B80" s="281"/>
      <c r="C80" s="281"/>
    </row>
    <row r="81" spans="1:3" ht="33" customHeight="1">
      <c r="A81" s="282"/>
      <c r="B81" s="281"/>
      <c r="C81" s="281"/>
    </row>
    <row r="82" spans="1:3" ht="33" customHeight="1">
      <c r="A82" s="282"/>
      <c r="B82" s="281"/>
      <c r="C82" s="281"/>
    </row>
    <row r="83" spans="1:3" ht="33" customHeight="1">
      <c r="A83" s="282"/>
      <c r="B83" s="281"/>
      <c r="C83" s="281"/>
    </row>
    <row r="84" spans="1:3" ht="33" customHeight="1">
      <c r="A84" s="282"/>
      <c r="B84" s="281"/>
      <c r="C84" s="281"/>
    </row>
  </sheetData>
  <mergeCells count="12">
    <mergeCell ref="AZ3:BC3"/>
    <mergeCell ref="H3:K3"/>
    <mergeCell ref="L3:O3"/>
    <mergeCell ref="P3:S3"/>
    <mergeCell ref="T3:W3"/>
    <mergeCell ref="X3:AA3"/>
    <mergeCell ref="AB3:AE3"/>
    <mergeCell ref="AF3:AI3"/>
    <mergeCell ref="AJ3:AM3"/>
    <mergeCell ref="AN3:AQ3"/>
    <mergeCell ref="AR3:AU3"/>
    <mergeCell ref="AV3:AY3"/>
  </mergeCells>
  <dataValidations count="1">
    <dataValidation type="list" allowBlank="1" sqref="G5:G16" xr:uid="{8401A00C-1C94-A843-8C26-2FE6E5B6073A}">
      <formula1>"⏳ Not started,✏️ In progress,⛔️ Blocked,👀 Under review,✅ Completed"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2F4AA-F472-8B4D-831D-0C44FC93E94B}">
  <dimension ref="A1:E13"/>
  <sheetViews>
    <sheetView zoomScale="134" workbookViewId="0">
      <selection activeCell="C11" sqref="C11"/>
    </sheetView>
  </sheetViews>
  <sheetFormatPr baseColWidth="10" defaultColWidth="11.5" defaultRowHeight="15"/>
  <cols>
    <col min="1" max="1" width="32" customWidth="1"/>
    <col min="2" max="2" width="41.5" customWidth="1"/>
    <col min="3" max="3" width="15.5" customWidth="1"/>
    <col min="5" max="5" width="12.1640625" bestFit="1" customWidth="1"/>
  </cols>
  <sheetData>
    <row r="1" spans="1:5" ht="24" customHeight="1">
      <c r="A1" s="526" t="s">
        <v>258</v>
      </c>
      <c r="B1" s="527"/>
      <c r="C1" s="527"/>
      <c r="D1" s="527"/>
    </row>
    <row r="2" spans="1:5" ht="32">
      <c r="A2" s="67" t="s">
        <v>259</v>
      </c>
      <c r="B2" s="67" t="s">
        <v>260</v>
      </c>
      <c r="C2" s="67" t="s">
        <v>261</v>
      </c>
      <c r="D2" s="67" t="s">
        <v>262</v>
      </c>
    </row>
    <row r="3" spans="1:5" ht="32">
      <c r="A3" s="66" t="s">
        <v>263</v>
      </c>
      <c r="B3" s="67" t="s">
        <v>264</v>
      </c>
      <c r="C3" s="67">
        <v>16.53</v>
      </c>
      <c r="D3" s="67" t="s">
        <v>265</v>
      </c>
    </row>
    <row r="4" spans="1:5" ht="32">
      <c r="A4" s="66" t="s">
        <v>266</v>
      </c>
      <c r="B4" s="66" t="s">
        <v>267</v>
      </c>
      <c r="C4" s="67">
        <v>3.97</v>
      </c>
      <c r="D4" s="66" t="s">
        <v>268</v>
      </c>
    </row>
    <row r="5" spans="1:5" ht="32">
      <c r="A5" s="66" t="s">
        <v>269</v>
      </c>
      <c r="B5" s="66" t="s">
        <v>270</v>
      </c>
      <c r="C5" s="67">
        <v>0.08</v>
      </c>
      <c r="D5" s="66" t="s">
        <v>271</v>
      </c>
    </row>
    <row r="6" spans="1:5" ht="32">
      <c r="A6" s="66" t="s">
        <v>272</v>
      </c>
      <c r="B6" s="66" t="s">
        <v>273</v>
      </c>
      <c r="C6" s="67">
        <v>0.03</v>
      </c>
      <c r="D6" s="66" t="s">
        <v>274</v>
      </c>
    </row>
    <row r="7" spans="1:5" ht="32">
      <c r="A7" s="66" t="s">
        <v>275</v>
      </c>
      <c r="B7" s="66" t="s">
        <v>276</v>
      </c>
      <c r="C7" s="67">
        <v>0.05</v>
      </c>
      <c r="D7" s="66" t="s">
        <v>277</v>
      </c>
    </row>
    <row r="8" spans="1:5" ht="32">
      <c r="A8" s="66" t="s">
        <v>278</v>
      </c>
      <c r="B8" s="66" t="s">
        <v>279</v>
      </c>
      <c r="C8" s="67">
        <v>0.3</v>
      </c>
      <c r="D8" s="67" t="s">
        <v>280</v>
      </c>
    </row>
    <row r="9" spans="1:5" ht="32">
      <c r="A9" s="66" t="s">
        <v>281</v>
      </c>
      <c r="B9" s="66" t="s">
        <v>282</v>
      </c>
      <c r="C9" s="67">
        <v>0.4</v>
      </c>
      <c r="D9" s="66" t="s">
        <v>265</v>
      </c>
    </row>
    <row r="10" spans="1:5" ht="16" customHeight="1">
      <c r="A10" s="66" t="s">
        <v>283</v>
      </c>
      <c r="B10" s="66" t="s">
        <v>284</v>
      </c>
      <c r="C10" s="67">
        <v>0.25</v>
      </c>
      <c r="D10" s="66" t="s">
        <v>280</v>
      </c>
    </row>
    <row r="11" spans="1:5" ht="32">
      <c r="A11" s="66" t="s">
        <v>285</v>
      </c>
      <c r="B11" s="66" t="s">
        <v>286</v>
      </c>
      <c r="C11" s="67">
        <v>0.04</v>
      </c>
      <c r="D11" s="66" t="s">
        <v>280</v>
      </c>
      <c r="E11" s="69" t="s">
        <v>287</v>
      </c>
    </row>
    <row r="12" spans="1:5" ht="32">
      <c r="A12" s="66" t="s">
        <v>288</v>
      </c>
      <c r="B12" s="66" t="s">
        <v>289</v>
      </c>
      <c r="C12" s="67">
        <v>0.2</v>
      </c>
      <c r="D12" s="66" t="s">
        <v>280</v>
      </c>
    </row>
    <row r="13" spans="1:5" ht="16" customHeight="1">
      <c r="A13" s="528" t="s">
        <v>290</v>
      </c>
      <c r="B13" s="528"/>
      <c r="C13" s="46">
        <f>SUM(C3:C12)</f>
        <v>21.849999999999998</v>
      </c>
    </row>
  </sheetData>
  <mergeCells count="2">
    <mergeCell ref="A1:D1"/>
    <mergeCell ref="A13: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BEE9-F211-9D4E-AFD2-A9736555F51E}">
  <dimension ref="A1:E35"/>
  <sheetViews>
    <sheetView zoomScale="139" workbookViewId="0">
      <selection activeCell="D14" sqref="D14"/>
    </sheetView>
  </sheetViews>
  <sheetFormatPr baseColWidth="10" defaultColWidth="10.83203125" defaultRowHeight="15"/>
  <cols>
    <col min="1" max="1" width="17.33203125" style="47" customWidth="1"/>
    <col min="2" max="2" width="20.83203125" style="47" customWidth="1"/>
    <col min="3" max="3" width="26.6640625" style="47" customWidth="1"/>
    <col min="4" max="4" width="10.83203125" style="65"/>
    <col min="5" max="16384" width="10.83203125" style="47"/>
  </cols>
  <sheetData>
    <row r="1" spans="1:5">
      <c r="A1" s="314" t="s">
        <v>291</v>
      </c>
      <c r="B1" s="315"/>
      <c r="C1" s="315"/>
      <c r="D1" s="316"/>
      <c r="E1" s="315"/>
    </row>
    <row r="2" spans="1:5" ht="3" customHeight="1">
      <c r="A2" s="315"/>
      <c r="B2" s="315"/>
      <c r="C2" s="315"/>
      <c r="D2" s="316"/>
      <c r="E2" s="315"/>
    </row>
    <row r="3" spans="1:5">
      <c r="A3" s="314" t="s">
        <v>292</v>
      </c>
      <c r="B3" s="314" t="s">
        <v>293</v>
      </c>
      <c r="C3" s="314" t="s">
        <v>294</v>
      </c>
      <c r="D3" s="317" t="s">
        <v>295</v>
      </c>
      <c r="E3" s="314" t="s">
        <v>296</v>
      </c>
    </row>
    <row r="4" spans="1:5">
      <c r="A4" s="315" t="s">
        <v>297</v>
      </c>
      <c r="B4" s="315" t="s">
        <v>38</v>
      </c>
      <c r="C4" s="315" t="s">
        <v>298</v>
      </c>
      <c r="D4" s="318">
        <v>2</v>
      </c>
      <c r="E4" s="315" t="s">
        <v>299</v>
      </c>
    </row>
    <row r="5" spans="1:5">
      <c r="A5" s="315" t="s">
        <v>169</v>
      </c>
      <c r="B5" s="315" t="s">
        <v>300</v>
      </c>
      <c r="C5" s="315" t="s">
        <v>301</v>
      </c>
      <c r="D5" s="318">
        <v>1.5</v>
      </c>
      <c r="E5" s="315" t="s">
        <v>302</v>
      </c>
    </row>
    <row r="6" spans="1:5">
      <c r="A6" s="315" t="s">
        <v>303</v>
      </c>
      <c r="B6" s="315" t="s">
        <v>304</v>
      </c>
      <c r="C6" s="315" t="s">
        <v>305</v>
      </c>
      <c r="D6" s="318">
        <v>0.8</v>
      </c>
      <c r="E6" s="315" t="s">
        <v>306</v>
      </c>
    </row>
    <row r="7" spans="1:5">
      <c r="A7" s="315" t="s">
        <v>307</v>
      </c>
      <c r="B7" s="315" t="s">
        <v>308</v>
      </c>
      <c r="C7" s="315" t="s">
        <v>309</v>
      </c>
      <c r="D7" s="318">
        <v>0.5</v>
      </c>
      <c r="E7" s="315" t="s">
        <v>310</v>
      </c>
    </row>
    <row r="8" spans="1:5" ht="16">
      <c r="A8" s="319" t="s">
        <v>311</v>
      </c>
      <c r="B8" s="315" t="s">
        <v>312</v>
      </c>
      <c r="C8" s="315"/>
      <c r="D8" s="318"/>
      <c r="E8" s="315"/>
    </row>
    <row r="9" spans="1:5">
      <c r="A9" s="314" t="s">
        <v>313</v>
      </c>
      <c r="B9" s="315"/>
      <c r="C9" s="315"/>
      <c r="D9" s="318">
        <f>SUM(D4:D7)</f>
        <v>4.8</v>
      </c>
      <c r="E9" s="315"/>
    </row>
    <row r="10" spans="1:5" ht="5" customHeight="1">
      <c r="A10" s="315"/>
      <c r="B10" s="315"/>
      <c r="C10" s="315"/>
      <c r="D10" s="316"/>
      <c r="E10" s="315"/>
    </row>
    <row r="11" spans="1:5">
      <c r="A11" s="314" t="s">
        <v>314</v>
      </c>
      <c r="B11" s="315"/>
      <c r="C11" s="315"/>
      <c r="D11" s="316"/>
      <c r="E11" s="315"/>
    </row>
    <row r="12" spans="1:5" ht="3" customHeight="1">
      <c r="A12" s="315"/>
      <c r="B12" s="315"/>
      <c r="C12" s="315"/>
      <c r="D12" s="316"/>
      <c r="E12" s="315"/>
    </row>
    <row r="13" spans="1:5">
      <c r="A13" s="314" t="s">
        <v>315</v>
      </c>
      <c r="B13" s="314" t="s">
        <v>316</v>
      </c>
      <c r="C13" s="314" t="s">
        <v>317</v>
      </c>
      <c r="D13" s="317" t="s">
        <v>295</v>
      </c>
      <c r="E13" s="314" t="s">
        <v>262</v>
      </c>
    </row>
    <row r="14" spans="1:5">
      <c r="A14" s="315" t="s">
        <v>318</v>
      </c>
      <c r="B14" s="315" t="s">
        <v>319</v>
      </c>
      <c r="C14" s="315" t="s">
        <v>320</v>
      </c>
      <c r="D14" s="320">
        <v>1.5</v>
      </c>
      <c r="E14" s="315" t="s">
        <v>321</v>
      </c>
    </row>
    <row r="15" spans="1:5">
      <c r="A15" s="315" t="s">
        <v>322</v>
      </c>
      <c r="B15" s="315" t="s">
        <v>323</v>
      </c>
      <c r="C15" s="315" t="s">
        <v>324</v>
      </c>
      <c r="D15" s="320">
        <v>1</v>
      </c>
      <c r="E15" s="315" t="s">
        <v>302</v>
      </c>
    </row>
    <row r="16" spans="1:5">
      <c r="A16" s="315" t="s">
        <v>30</v>
      </c>
      <c r="B16" s="315" t="s">
        <v>325</v>
      </c>
      <c r="C16" s="315" t="s">
        <v>326</v>
      </c>
      <c r="D16" s="320" t="s">
        <v>327</v>
      </c>
      <c r="E16" s="315" t="s">
        <v>328</v>
      </c>
    </row>
    <row r="17" spans="1:5">
      <c r="A17" s="315" t="s">
        <v>307</v>
      </c>
      <c r="B17" s="315" t="s">
        <v>329</v>
      </c>
      <c r="C17" s="315" t="s">
        <v>330</v>
      </c>
      <c r="D17" s="320">
        <v>0.5</v>
      </c>
      <c r="E17" s="315" t="s">
        <v>302</v>
      </c>
    </row>
    <row r="18" spans="1:5">
      <c r="A18" s="314" t="s">
        <v>331</v>
      </c>
      <c r="B18" s="315"/>
      <c r="C18" s="315"/>
      <c r="D18" s="320">
        <f>SUM(D14:D17)</f>
        <v>3</v>
      </c>
      <c r="E18" s="315"/>
    </row>
    <row r="19" spans="1:5" ht="5" customHeight="1">
      <c r="A19" s="315"/>
      <c r="B19" s="315"/>
      <c r="C19" s="315"/>
      <c r="D19" s="316"/>
      <c r="E19" s="315"/>
    </row>
    <row r="20" spans="1:5">
      <c r="A20" s="314" t="s">
        <v>332</v>
      </c>
      <c r="B20" s="315"/>
      <c r="C20" s="315"/>
      <c r="D20" s="316"/>
      <c r="E20" s="315"/>
    </row>
    <row r="21" spans="1:5">
      <c r="A21" s="314" t="s">
        <v>315</v>
      </c>
      <c r="B21" s="314" t="s">
        <v>316</v>
      </c>
      <c r="C21" s="314" t="s">
        <v>317</v>
      </c>
      <c r="D21" s="317" t="s">
        <v>295</v>
      </c>
      <c r="E21" s="314" t="s">
        <v>262</v>
      </c>
    </row>
    <row r="22" spans="1:5">
      <c r="A22" s="315" t="s">
        <v>297</v>
      </c>
      <c r="B22" s="315" t="s">
        <v>333</v>
      </c>
      <c r="C22" s="315" t="s">
        <v>334</v>
      </c>
      <c r="D22" s="320">
        <v>2</v>
      </c>
      <c r="E22" s="315" t="s">
        <v>335</v>
      </c>
    </row>
    <row r="23" spans="1:5">
      <c r="A23" s="315" t="s">
        <v>336</v>
      </c>
      <c r="B23" s="315" t="s">
        <v>337</v>
      </c>
      <c r="C23" s="315" t="s">
        <v>338</v>
      </c>
      <c r="D23" s="320">
        <v>1</v>
      </c>
      <c r="E23" s="315" t="s">
        <v>339</v>
      </c>
    </row>
    <row r="24" spans="1:5">
      <c r="A24" s="315" t="s">
        <v>303</v>
      </c>
      <c r="B24" s="315" t="s">
        <v>340</v>
      </c>
      <c r="C24" s="315" t="s">
        <v>341</v>
      </c>
      <c r="D24" s="320">
        <v>1.5</v>
      </c>
      <c r="E24" s="315" t="s">
        <v>302</v>
      </c>
    </row>
    <row r="25" spans="1:5">
      <c r="A25" s="315" t="s">
        <v>342</v>
      </c>
      <c r="B25" s="315" t="s">
        <v>343</v>
      </c>
      <c r="C25" s="315" t="s">
        <v>344</v>
      </c>
      <c r="D25" s="320">
        <v>0.5</v>
      </c>
      <c r="E25" s="315" t="s">
        <v>345</v>
      </c>
    </row>
    <row r="26" spans="1:5">
      <c r="A26" s="314" t="s">
        <v>346</v>
      </c>
      <c r="B26" s="315"/>
      <c r="C26" s="315"/>
      <c r="D26" s="320">
        <f>SUM(D22:D25)</f>
        <v>5</v>
      </c>
      <c r="E26" s="315"/>
    </row>
    <row r="27" spans="1:5">
      <c r="A27" s="315"/>
      <c r="B27" s="315"/>
      <c r="C27" s="315"/>
      <c r="D27" s="316"/>
      <c r="E27" s="315"/>
    </row>
    <row r="28" spans="1:5">
      <c r="A28" s="315"/>
      <c r="B28" s="315"/>
      <c r="C28" s="315"/>
      <c r="D28" s="316"/>
      <c r="E28" s="315"/>
    </row>
    <row r="29" spans="1:5">
      <c r="A29" s="314" t="s">
        <v>347</v>
      </c>
      <c r="B29" s="315"/>
      <c r="C29" s="315"/>
      <c r="D29" s="316"/>
      <c r="E29" s="315"/>
    </row>
    <row r="30" spans="1:5">
      <c r="A30" s="314" t="s">
        <v>348</v>
      </c>
      <c r="B30" s="315"/>
      <c r="C30" s="315"/>
      <c r="D30" s="317" t="s">
        <v>349</v>
      </c>
      <c r="E30" s="315"/>
    </row>
    <row r="31" spans="1:5">
      <c r="A31" s="315" t="s">
        <v>350</v>
      </c>
      <c r="B31" s="315"/>
      <c r="C31" s="315"/>
      <c r="D31" s="320">
        <f>D9</f>
        <v>4.8</v>
      </c>
      <c r="E31" s="315"/>
    </row>
    <row r="32" spans="1:5">
      <c r="A32" s="315" t="s">
        <v>351</v>
      </c>
      <c r="B32" s="315"/>
      <c r="C32" s="315"/>
      <c r="D32" s="320">
        <f>D18</f>
        <v>3</v>
      </c>
      <c r="E32" s="315"/>
    </row>
    <row r="33" spans="1:5">
      <c r="A33" s="315" t="s">
        <v>352</v>
      </c>
      <c r="B33" s="315"/>
      <c r="C33" s="315"/>
      <c r="D33" s="320">
        <f>D26</f>
        <v>5</v>
      </c>
      <c r="E33" s="315"/>
    </row>
    <row r="34" spans="1:5">
      <c r="A34" s="314" t="s">
        <v>353</v>
      </c>
      <c r="B34" s="315"/>
      <c r="C34" s="315"/>
      <c r="D34" s="320">
        <f>SUM(D31:D33)</f>
        <v>12.8</v>
      </c>
      <c r="E34" s="315"/>
    </row>
    <row r="35" spans="1:5">
      <c r="A35" s="315"/>
      <c r="B35" s="315"/>
      <c r="C35" s="315"/>
      <c r="D35" s="316"/>
      <c r="E35" s="3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6933A-A545-B54F-A729-7A36F2EAB10C}">
  <dimension ref="A1:H20"/>
  <sheetViews>
    <sheetView topLeftCell="B1" zoomScale="119" workbookViewId="0">
      <selection activeCell="B3" sqref="B3:G20"/>
    </sheetView>
  </sheetViews>
  <sheetFormatPr baseColWidth="10" defaultColWidth="11.5" defaultRowHeight="15"/>
  <cols>
    <col min="2" max="2" width="31.1640625" customWidth="1"/>
    <col min="3" max="3" width="40.83203125" customWidth="1"/>
    <col min="4" max="4" width="7.83203125" customWidth="1"/>
    <col min="5" max="5" width="10.83203125" customWidth="1"/>
    <col min="6" max="6" width="16.6640625" customWidth="1"/>
    <col min="7" max="7" width="12.6640625" customWidth="1"/>
  </cols>
  <sheetData>
    <row r="1" spans="1:8" ht="24">
      <c r="A1" s="58" t="s">
        <v>354</v>
      </c>
    </row>
    <row r="3" spans="1:8" ht="31" customHeight="1">
      <c r="A3" s="64" t="s">
        <v>355</v>
      </c>
      <c r="B3" s="64" t="s">
        <v>356</v>
      </c>
      <c r="C3" s="64" t="s">
        <v>357</v>
      </c>
      <c r="D3" s="64" t="s">
        <v>358</v>
      </c>
      <c r="E3" s="64" t="s">
        <v>359</v>
      </c>
      <c r="F3" s="64" t="s">
        <v>360</v>
      </c>
    </row>
    <row r="4" spans="1:8" ht="14" customHeight="1">
      <c r="A4" s="67" t="s">
        <v>361</v>
      </c>
      <c r="B4" s="66" t="s">
        <v>362</v>
      </c>
      <c r="C4" s="66" t="s">
        <v>363</v>
      </c>
      <c r="D4" s="66" t="s">
        <v>328</v>
      </c>
      <c r="E4" s="66">
        <v>0.25</v>
      </c>
      <c r="F4" s="66" t="s">
        <v>364</v>
      </c>
      <c r="G4" s="66" t="s">
        <v>365</v>
      </c>
      <c r="H4">
        <f>6.6/30</f>
        <v>0.22</v>
      </c>
    </row>
    <row r="5" spans="1:8" ht="16">
      <c r="A5" s="66" t="s">
        <v>361</v>
      </c>
      <c r="B5" s="66" t="s">
        <v>366</v>
      </c>
      <c r="C5" s="66" t="s">
        <v>367</v>
      </c>
      <c r="D5" s="66" t="s">
        <v>368</v>
      </c>
      <c r="E5" s="66">
        <v>0.15</v>
      </c>
      <c r="F5" s="66" t="s">
        <v>369</v>
      </c>
    </row>
    <row r="6" spans="1:8" ht="16">
      <c r="A6" s="66" t="s">
        <v>361</v>
      </c>
      <c r="B6" s="66" t="s">
        <v>370</v>
      </c>
      <c r="C6" s="66" t="s">
        <v>371</v>
      </c>
      <c r="D6" s="66" t="s">
        <v>328</v>
      </c>
      <c r="E6" s="66">
        <v>0.1</v>
      </c>
      <c r="F6" s="66" t="s">
        <v>372</v>
      </c>
    </row>
    <row r="7" spans="1:8" ht="16">
      <c r="A7" s="66" t="s">
        <v>361</v>
      </c>
      <c r="B7" s="66" t="s">
        <v>373</v>
      </c>
      <c r="C7" s="66" t="s">
        <v>374</v>
      </c>
      <c r="D7" s="66" t="s">
        <v>328</v>
      </c>
      <c r="E7" s="66">
        <v>0.08</v>
      </c>
      <c r="F7" s="66" t="s">
        <v>375</v>
      </c>
    </row>
    <row r="8" spans="1:8" ht="16">
      <c r="A8" s="66" t="s">
        <v>361</v>
      </c>
      <c r="B8" s="66" t="s">
        <v>376</v>
      </c>
      <c r="C8" s="66" t="s">
        <v>377</v>
      </c>
      <c r="D8" s="66" t="s">
        <v>328</v>
      </c>
      <c r="E8" s="66">
        <v>0.1</v>
      </c>
      <c r="F8" s="66" t="s">
        <v>378</v>
      </c>
    </row>
    <row r="9" spans="1:8" ht="16">
      <c r="A9" s="66" t="s">
        <v>361</v>
      </c>
      <c r="B9" s="66" t="s">
        <v>379</v>
      </c>
      <c r="C9" s="66" t="s">
        <v>380</v>
      </c>
      <c r="D9" s="66" t="s">
        <v>328</v>
      </c>
      <c r="E9" s="66">
        <v>7.0000000000000007E-2</v>
      </c>
      <c r="F9" s="66" t="s">
        <v>381</v>
      </c>
    </row>
    <row r="10" spans="1:8" ht="16">
      <c r="A10" s="66" t="s">
        <v>361</v>
      </c>
      <c r="B10" s="66" t="s">
        <v>382</v>
      </c>
      <c r="C10" s="66" t="s">
        <v>383</v>
      </c>
      <c r="D10" s="66" t="s">
        <v>328</v>
      </c>
      <c r="E10" s="66">
        <v>0.05</v>
      </c>
      <c r="F10" s="66" t="s">
        <v>384</v>
      </c>
    </row>
    <row r="11" spans="1:8" ht="32">
      <c r="A11" s="67" t="s">
        <v>385</v>
      </c>
      <c r="B11" s="66" t="s">
        <v>386</v>
      </c>
      <c r="C11" s="66" t="s">
        <v>387</v>
      </c>
      <c r="D11" s="66" t="s">
        <v>328</v>
      </c>
      <c r="E11" s="66">
        <v>0.35</v>
      </c>
      <c r="F11" s="66" t="s">
        <v>388</v>
      </c>
    </row>
    <row r="12" spans="1:8" ht="16">
      <c r="A12" s="66" t="s">
        <v>389</v>
      </c>
      <c r="B12" s="66" t="s">
        <v>390</v>
      </c>
      <c r="C12" s="66" t="s">
        <v>391</v>
      </c>
      <c r="D12" s="66" t="s">
        <v>328</v>
      </c>
      <c r="E12" s="66">
        <v>0.2</v>
      </c>
      <c r="F12" s="66" t="s">
        <v>392</v>
      </c>
    </row>
    <row r="13" spans="1:8" ht="16">
      <c r="A13" s="66" t="s">
        <v>389</v>
      </c>
      <c r="B13" s="66" t="s">
        <v>393</v>
      </c>
      <c r="C13" s="66" t="s">
        <v>394</v>
      </c>
      <c r="D13" s="66" t="s">
        <v>328</v>
      </c>
      <c r="E13" s="66">
        <v>0.1</v>
      </c>
      <c r="F13" s="66" t="s">
        <v>395</v>
      </c>
    </row>
    <row r="14" spans="1:8" ht="16">
      <c r="A14" s="66" t="s">
        <v>389</v>
      </c>
      <c r="B14" s="66" t="s">
        <v>396</v>
      </c>
      <c r="C14" s="66" t="s">
        <v>397</v>
      </c>
      <c r="D14" s="66" t="s">
        <v>328</v>
      </c>
      <c r="E14" s="66">
        <v>0.05</v>
      </c>
      <c r="F14" s="66" t="s">
        <v>398</v>
      </c>
    </row>
    <row r="15" spans="1:8" ht="32">
      <c r="A15" s="66" t="s">
        <v>389</v>
      </c>
      <c r="B15" s="66" t="s">
        <v>399</v>
      </c>
      <c r="C15" s="66" t="s">
        <v>400</v>
      </c>
      <c r="D15" s="66" t="s">
        <v>328</v>
      </c>
      <c r="E15" s="66">
        <v>0.08</v>
      </c>
      <c r="F15" s="66" t="s">
        <v>401</v>
      </c>
    </row>
    <row r="16" spans="1:8" ht="32">
      <c r="A16" s="67" t="s">
        <v>402</v>
      </c>
      <c r="B16" s="66" t="s">
        <v>311</v>
      </c>
      <c r="C16" s="66" t="s">
        <v>403</v>
      </c>
      <c r="D16" s="66" t="s">
        <v>328</v>
      </c>
      <c r="E16" s="66">
        <v>0.1</v>
      </c>
      <c r="F16" s="66" t="s">
        <v>404</v>
      </c>
    </row>
    <row r="17" spans="1:6" ht="16">
      <c r="A17" s="66" t="s">
        <v>405</v>
      </c>
      <c r="B17" s="66" t="s">
        <v>406</v>
      </c>
      <c r="C17" s="66" t="s">
        <v>407</v>
      </c>
      <c r="D17" s="66" t="s">
        <v>328</v>
      </c>
      <c r="E17" s="66">
        <v>0.12</v>
      </c>
      <c r="F17" s="66" t="s">
        <v>408</v>
      </c>
    </row>
    <row r="18" spans="1:6" ht="16">
      <c r="A18" s="66" t="s">
        <v>405</v>
      </c>
      <c r="B18" s="66" t="s">
        <v>409</v>
      </c>
      <c r="C18" s="66" t="s">
        <v>410</v>
      </c>
      <c r="D18" s="66" t="s">
        <v>328</v>
      </c>
      <c r="E18" s="66">
        <v>0.08</v>
      </c>
      <c r="F18" s="66" t="s">
        <v>339</v>
      </c>
    </row>
    <row r="19" spans="1:6" ht="16">
      <c r="A19" s="67" t="s">
        <v>411</v>
      </c>
      <c r="B19" s="66" t="s">
        <v>412</v>
      </c>
      <c r="C19" s="66" t="s">
        <v>413</v>
      </c>
      <c r="D19" s="66" t="s">
        <v>414</v>
      </c>
      <c r="E19" s="66">
        <v>0.15</v>
      </c>
      <c r="F19" s="66" t="s">
        <v>415</v>
      </c>
    </row>
    <row r="20" spans="1:6" ht="16" customHeight="1">
      <c r="B20" s="528" t="s">
        <v>290</v>
      </c>
      <c r="C20" s="528"/>
      <c r="E20" s="46">
        <f>SUM(E4:E19)</f>
        <v>2.0300000000000002</v>
      </c>
    </row>
  </sheetData>
  <mergeCells count="1">
    <mergeCell ref="B20:C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E4FA6-4C7C-EB40-9DD8-50C298B4BEB9}">
  <dimension ref="A1:G27"/>
  <sheetViews>
    <sheetView workbookViewId="0">
      <selection activeCell="A5" sqref="A5:B5"/>
    </sheetView>
  </sheetViews>
  <sheetFormatPr baseColWidth="10" defaultColWidth="10.83203125" defaultRowHeight="16"/>
  <cols>
    <col min="1" max="1" width="38.6640625" style="62" customWidth="1"/>
    <col min="2" max="2" width="40.83203125" style="62" customWidth="1"/>
    <col min="3" max="3" width="21.1640625" style="62" customWidth="1"/>
    <col min="4" max="4" width="55.83203125" style="62" customWidth="1"/>
    <col min="5" max="5" width="19.1640625" style="62" customWidth="1"/>
    <col min="6" max="6" width="10.83203125" style="62"/>
    <col min="7" max="7" width="14.33203125" style="62" customWidth="1"/>
    <col min="8" max="16384" width="10.83203125" style="62"/>
  </cols>
  <sheetData>
    <row r="1" spans="1:7">
      <c r="A1" s="529" t="s">
        <v>416</v>
      </c>
      <c r="B1" s="529"/>
      <c r="C1" s="529"/>
      <c r="D1" s="529"/>
      <c r="E1" s="529"/>
    </row>
    <row r="2" spans="1:7" ht="40" customHeight="1">
      <c r="A2" s="321" t="s">
        <v>417</v>
      </c>
      <c r="B2" s="321" t="s">
        <v>418</v>
      </c>
      <c r="C2" s="299" t="s">
        <v>419</v>
      </c>
      <c r="D2" s="321" t="s">
        <v>420</v>
      </c>
      <c r="E2" s="322" t="s">
        <v>421</v>
      </c>
      <c r="F2" s="321" t="s">
        <v>422</v>
      </c>
      <c r="G2" s="321" t="s">
        <v>423</v>
      </c>
    </row>
    <row r="3" spans="1:7" ht="34">
      <c r="A3" s="299" t="s">
        <v>424</v>
      </c>
      <c r="B3" s="323" t="s">
        <v>312</v>
      </c>
      <c r="C3" s="324">
        <v>2.75</v>
      </c>
      <c r="D3" s="300" t="s">
        <v>425</v>
      </c>
      <c r="E3" s="300" t="s">
        <v>426</v>
      </c>
      <c r="F3" s="323" t="s">
        <v>427</v>
      </c>
      <c r="G3" s="323" t="s">
        <v>428</v>
      </c>
    </row>
    <row r="4" spans="1:7" ht="34">
      <c r="A4" s="299" t="s">
        <v>429</v>
      </c>
      <c r="B4" s="323" t="s">
        <v>430</v>
      </c>
      <c r="C4" s="324">
        <v>0.6</v>
      </c>
      <c r="D4" s="300" t="s">
        <v>431</v>
      </c>
      <c r="E4" s="300" t="s">
        <v>432</v>
      </c>
      <c r="F4" s="323" t="s">
        <v>45</v>
      </c>
      <c r="G4" s="323"/>
    </row>
    <row r="5" spans="1:7" ht="51">
      <c r="A5" s="299" t="s">
        <v>433</v>
      </c>
      <c r="B5" s="323" t="s">
        <v>123</v>
      </c>
      <c r="C5" s="324">
        <v>5.3</v>
      </c>
      <c r="D5" s="300" t="s">
        <v>434</v>
      </c>
      <c r="E5" s="300" t="s">
        <v>435</v>
      </c>
      <c r="F5" s="323" t="s">
        <v>427</v>
      </c>
      <c r="G5" s="323"/>
    </row>
    <row r="6" spans="1:7" ht="34">
      <c r="A6" s="299" t="s">
        <v>436</v>
      </c>
      <c r="B6" s="323" t="s">
        <v>437</v>
      </c>
      <c r="C6" s="324"/>
      <c r="D6" s="300" t="s">
        <v>438</v>
      </c>
      <c r="E6" s="300" t="s">
        <v>439</v>
      </c>
      <c r="F6" s="323"/>
      <c r="G6" s="323"/>
    </row>
    <row r="7" spans="1:7" ht="34">
      <c r="A7" s="299" t="s">
        <v>440</v>
      </c>
      <c r="B7" s="323" t="s">
        <v>441</v>
      </c>
      <c r="C7" s="324">
        <v>1.5</v>
      </c>
      <c r="D7" s="300" t="s">
        <v>442</v>
      </c>
      <c r="E7" s="300" t="s">
        <v>443</v>
      </c>
      <c r="F7" s="323" t="s">
        <v>444</v>
      </c>
      <c r="G7" s="323"/>
    </row>
    <row r="8" spans="1:7" ht="34">
      <c r="A8" s="299" t="s">
        <v>445</v>
      </c>
      <c r="B8" s="323" t="s">
        <v>446</v>
      </c>
      <c r="C8" s="324"/>
      <c r="D8" s="300" t="s">
        <v>447</v>
      </c>
      <c r="E8" s="300" t="s">
        <v>448</v>
      </c>
      <c r="F8" s="323"/>
      <c r="G8" s="323"/>
    </row>
    <row r="9" spans="1:7" ht="48" customHeight="1">
      <c r="A9" s="321" t="s">
        <v>449</v>
      </c>
      <c r="B9" s="323"/>
      <c r="C9" s="324">
        <f>SUM(C3:C8)</f>
        <v>10.15</v>
      </c>
      <c r="D9" s="325" t="s">
        <v>450</v>
      </c>
      <c r="E9" s="300"/>
      <c r="F9" s="323"/>
      <c r="G9" s="323"/>
    </row>
    <row r="10" spans="1:7">
      <c r="E10" s="59"/>
    </row>
    <row r="14" spans="1:7">
      <c r="E14" s="59"/>
    </row>
    <row r="15" spans="1:7">
      <c r="B15" s="60"/>
      <c r="C15" s="59"/>
      <c r="D15" s="59"/>
      <c r="E15" s="59"/>
      <c r="F15" s="60"/>
      <c r="G15" s="59"/>
    </row>
    <row r="16" spans="1:7">
      <c r="B16" s="61"/>
      <c r="C16" s="59"/>
      <c r="D16" s="59"/>
      <c r="E16" s="59"/>
      <c r="F16" s="60"/>
      <c r="G16" s="61"/>
    </row>
    <row r="17" spans="2:7">
      <c r="B17" s="60"/>
      <c r="C17" s="59"/>
      <c r="D17" s="59"/>
      <c r="E17" s="59"/>
      <c r="F17" s="60"/>
      <c r="G17" s="59"/>
    </row>
    <row r="18" spans="2:7">
      <c r="B18" s="61"/>
      <c r="C18" s="59"/>
      <c r="D18" s="59"/>
      <c r="E18" s="59"/>
      <c r="F18" s="60"/>
      <c r="G18" s="61"/>
    </row>
    <row r="19" spans="2:7">
      <c r="B19" s="60"/>
      <c r="C19" s="59"/>
      <c r="D19" s="59"/>
      <c r="E19" s="59"/>
      <c r="F19" s="60"/>
      <c r="G19" s="59"/>
    </row>
    <row r="20" spans="2:7">
      <c r="B20" s="61"/>
      <c r="C20" s="59"/>
      <c r="D20" s="59"/>
      <c r="E20" s="59"/>
      <c r="F20" s="60"/>
      <c r="G20" s="61"/>
    </row>
    <row r="21" spans="2:7">
      <c r="B21" s="60"/>
      <c r="C21" s="59"/>
      <c r="D21" s="59"/>
      <c r="E21" s="59"/>
      <c r="F21" s="60"/>
      <c r="G21" s="59"/>
    </row>
    <row r="22" spans="2:7">
      <c r="B22" s="61"/>
      <c r="C22" s="59"/>
      <c r="D22" s="59"/>
      <c r="E22" s="59"/>
      <c r="F22" s="60"/>
      <c r="G22" s="61"/>
    </row>
    <row r="23" spans="2:7">
      <c r="B23" s="60"/>
      <c r="C23" s="59"/>
      <c r="D23" s="59"/>
      <c r="E23" s="59"/>
      <c r="F23" s="60"/>
      <c r="G23" s="59"/>
    </row>
    <row r="24" spans="2:7">
      <c r="B24" s="61"/>
      <c r="C24" s="59"/>
      <c r="D24" s="59"/>
      <c r="E24" s="59"/>
      <c r="F24" s="60"/>
      <c r="G24" s="61"/>
    </row>
    <row r="25" spans="2:7">
      <c r="B25" s="60"/>
      <c r="C25" s="59"/>
      <c r="D25" s="59"/>
      <c r="E25" s="59"/>
      <c r="F25" s="60"/>
      <c r="G25" s="59"/>
    </row>
    <row r="26" spans="2:7">
      <c r="B26" s="61"/>
      <c r="C26" s="59"/>
      <c r="D26" s="59"/>
      <c r="E26" s="59"/>
      <c r="F26" s="60"/>
      <c r="G26" s="61"/>
    </row>
    <row r="27" spans="2:7">
      <c r="B27" s="60"/>
      <c r="C27" s="59"/>
      <c r="D27" s="59"/>
      <c r="E27" s="59"/>
      <c r="F27" s="59"/>
      <c r="G27" s="59"/>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2297-A28D-CB40-81E3-3F2ACEA6F0F4}">
  <dimension ref="A1:F13"/>
  <sheetViews>
    <sheetView workbookViewId="0">
      <selection activeCell="A3" sqref="A3:A5"/>
    </sheetView>
  </sheetViews>
  <sheetFormatPr baseColWidth="10" defaultColWidth="10.83203125" defaultRowHeight="16"/>
  <cols>
    <col min="1" max="1" width="34.1640625" style="59" customWidth="1"/>
    <col min="2" max="2" width="41" style="59" customWidth="1"/>
    <col min="3" max="3" width="17.83203125" style="59" customWidth="1"/>
    <col min="4" max="4" width="31.33203125" style="59" customWidth="1"/>
    <col min="5" max="5" width="37.5" style="59" customWidth="1"/>
    <col min="6" max="6" width="41" style="59" customWidth="1"/>
    <col min="7" max="16384" width="10.83203125" style="59"/>
  </cols>
  <sheetData>
    <row r="1" spans="1:6">
      <c r="A1" s="530" t="s">
        <v>451</v>
      </c>
      <c r="B1" s="531"/>
      <c r="C1" s="531"/>
      <c r="D1" s="531"/>
      <c r="E1" s="326"/>
      <c r="F1" s="326"/>
    </row>
    <row r="2" spans="1:6" s="63" customFormat="1" ht="48">
      <c r="A2" s="327" t="s">
        <v>452</v>
      </c>
      <c r="B2" s="328" t="s">
        <v>420</v>
      </c>
      <c r="C2" s="329" t="s">
        <v>453</v>
      </c>
      <c r="D2" s="329" t="s">
        <v>421</v>
      </c>
      <c r="E2" s="329" t="s">
        <v>454</v>
      </c>
    </row>
    <row r="3" spans="1:6" ht="47" customHeight="1">
      <c r="A3" s="327" t="s">
        <v>455</v>
      </c>
      <c r="B3" s="330" t="s">
        <v>456</v>
      </c>
      <c r="C3" s="331">
        <v>1.8</v>
      </c>
      <c r="D3" s="332" t="s">
        <v>457</v>
      </c>
      <c r="E3" s="330" t="s">
        <v>458</v>
      </c>
    </row>
    <row r="4" spans="1:6" ht="34">
      <c r="A4" s="327" t="s">
        <v>459</v>
      </c>
      <c r="B4" s="330" t="s">
        <v>460</v>
      </c>
      <c r="C4" s="331">
        <v>0.6</v>
      </c>
      <c r="D4" s="333" t="s">
        <v>461</v>
      </c>
      <c r="E4" s="332" t="s">
        <v>462</v>
      </c>
    </row>
    <row r="5" spans="1:6" ht="51">
      <c r="A5" s="327" t="s">
        <v>463</v>
      </c>
      <c r="B5" s="330" t="s">
        <v>464</v>
      </c>
      <c r="C5" s="331">
        <v>1</v>
      </c>
      <c r="D5" s="334" t="s">
        <v>465</v>
      </c>
      <c r="E5" s="330" t="s">
        <v>466</v>
      </c>
    </row>
    <row r="6" spans="1:6" ht="34">
      <c r="A6" s="327" t="s">
        <v>467</v>
      </c>
      <c r="B6" s="330" t="s">
        <v>468</v>
      </c>
      <c r="C6" s="331">
        <v>1</v>
      </c>
      <c r="D6" s="333" t="s">
        <v>469</v>
      </c>
      <c r="E6" s="332" t="s">
        <v>470</v>
      </c>
    </row>
    <row r="7" spans="1:6" ht="34">
      <c r="A7" s="327" t="s">
        <v>471</v>
      </c>
      <c r="B7" s="330" t="s">
        <v>472</v>
      </c>
      <c r="C7" s="331">
        <v>0.3</v>
      </c>
      <c r="D7" s="334" t="s">
        <v>473</v>
      </c>
      <c r="E7" s="332" t="s">
        <v>474</v>
      </c>
    </row>
    <row r="8" spans="1:6" ht="34">
      <c r="A8" s="327" t="s">
        <v>475</v>
      </c>
      <c r="B8" s="330" t="s">
        <v>476</v>
      </c>
      <c r="C8" s="331"/>
      <c r="D8" s="334" t="s">
        <v>477</v>
      </c>
      <c r="E8" s="330" t="s">
        <v>478</v>
      </c>
    </row>
    <row r="9" spans="1:6" ht="35" customHeight="1">
      <c r="A9" s="327" t="s">
        <v>312</v>
      </c>
      <c r="B9" s="335" t="s">
        <v>479</v>
      </c>
      <c r="C9" s="336"/>
      <c r="D9" s="334"/>
      <c r="E9" s="337"/>
    </row>
    <row r="10" spans="1:6" ht="17">
      <c r="A10" s="327" t="s">
        <v>480</v>
      </c>
      <c r="B10" s="332"/>
      <c r="C10" s="336">
        <f>SUM(C3:C9)</f>
        <v>4.7</v>
      </c>
      <c r="D10" s="332"/>
      <c r="E10" s="332"/>
    </row>
    <row r="13" spans="1:6">
      <c r="D13" s="68"/>
    </row>
  </sheetData>
  <mergeCells count="1">
    <mergeCell ref="A1:D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A2DB7-625B-8542-8481-FA289BF833A2}">
  <dimension ref="A1:I35"/>
  <sheetViews>
    <sheetView topLeftCell="A12" workbookViewId="0">
      <selection activeCell="A36" sqref="A36"/>
    </sheetView>
  </sheetViews>
  <sheetFormatPr baseColWidth="10" defaultColWidth="8.83203125" defaultRowHeight="15"/>
  <cols>
    <col min="1" max="1" width="17.5" bestFit="1" customWidth="1"/>
    <col min="2" max="2" width="23.83203125" customWidth="1"/>
    <col min="3" max="3" width="34.5" customWidth="1"/>
    <col min="4" max="4" width="17.83203125" customWidth="1"/>
    <col min="5" max="5" width="8.5" customWidth="1"/>
    <col min="6" max="6" width="15" customWidth="1"/>
    <col min="7" max="7" width="18" customWidth="1"/>
    <col min="8" max="8" width="15" customWidth="1"/>
    <col min="9" max="9" width="20" customWidth="1"/>
  </cols>
  <sheetData>
    <row r="1" spans="1:9" ht="19">
      <c r="A1" s="532" t="s">
        <v>481</v>
      </c>
      <c r="B1" s="509"/>
      <c r="C1" s="509"/>
      <c r="D1" s="509"/>
      <c r="E1" s="509"/>
      <c r="F1" s="509"/>
      <c r="G1" s="509"/>
      <c r="H1" s="509"/>
      <c r="I1" s="509"/>
    </row>
    <row r="3" spans="1:9">
      <c r="A3" t="s">
        <v>482</v>
      </c>
      <c r="C3" s="70" t="s">
        <v>483</v>
      </c>
    </row>
    <row r="4" spans="1:9">
      <c r="A4" s="509" t="s">
        <v>484</v>
      </c>
      <c r="B4" s="509"/>
      <c r="C4" s="509"/>
      <c r="D4" s="509"/>
      <c r="E4" s="509"/>
      <c r="F4" s="509"/>
      <c r="G4" s="509"/>
      <c r="I4" s="71" t="s">
        <v>485</v>
      </c>
    </row>
    <row r="5" spans="1:9" ht="48">
      <c r="A5" s="338" t="s">
        <v>486</v>
      </c>
      <c r="B5" s="338" t="s">
        <v>487</v>
      </c>
      <c r="C5" s="338" t="s">
        <v>488</v>
      </c>
      <c r="D5" s="338" t="s">
        <v>489</v>
      </c>
      <c r="E5" s="338" t="s">
        <v>490</v>
      </c>
      <c r="F5" s="338" t="s">
        <v>491</v>
      </c>
      <c r="G5" s="338" t="s">
        <v>492</v>
      </c>
      <c r="H5" s="338" t="s">
        <v>493</v>
      </c>
      <c r="I5" s="338" t="s">
        <v>494</v>
      </c>
    </row>
    <row r="6" spans="1:9" ht="128">
      <c r="A6" s="339">
        <v>1</v>
      </c>
      <c r="B6" s="339" t="s">
        <v>495</v>
      </c>
      <c r="C6" s="340" t="s">
        <v>496</v>
      </c>
      <c r="D6" s="340" t="s">
        <v>497</v>
      </c>
      <c r="E6" s="339">
        <v>1</v>
      </c>
      <c r="F6" s="341">
        <v>500000000</v>
      </c>
      <c r="G6" s="341">
        <v>500000000</v>
      </c>
      <c r="H6" s="341">
        <v>50000000</v>
      </c>
      <c r="I6" s="341">
        <v>550000000</v>
      </c>
    </row>
    <row r="7" spans="1:9" ht="96">
      <c r="A7" s="339">
        <v>2</v>
      </c>
      <c r="B7" s="339" t="s">
        <v>498</v>
      </c>
      <c r="C7" s="340" t="s">
        <v>499</v>
      </c>
      <c r="D7" s="340" t="s">
        <v>500</v>
      </c>
      <c r="E7" s="339">
        <v>12.5</v>
      </c>
      <c r="F7" s="341">
        <v>8000000</v>
      </c>
      <c r="G7" s="341">
        <v>100000000</v>
      </c>
      <c r="H7" s="341">
        <v>10000000</v>
      </c>
      <c r="I7" s="341">
        <v>110000000</v>
      </c>
    </row>
    <row r="8" spans="1:9" ht="96">
      <c r="A8" s="339">
        <v>3</v>
      </c>
      <c r="B8" s="339" t="s">
        <v>501</v>
      </c>
      <c r="C8" s="340" t="s">
        <v>502</v>
      </c>
      <c r="D8" s="340" t="s">
        <v>503</v>
      </c>
      <c r="E8" s="339">
        <v>8</v>
      </c>
      <c r="F8" s="341">
        <v>5000000</v>
      </c>
      <c r="G8" s="341">
        <v>40000000</v>
      </c>
      <c r="H8" s="341">
        <v>4000000</v>
      </c>
      <c r="I8" s="341">
        <v>44000000</v>
      </c>
    </row>
    <row r="9" spans="1:9" ht="144">
      <c r="A9" s="339">
        <v>4</v>
      </c>
      <c r="B9" s="339" t="s">
        <v>504</v>
      </c>
      <c r="C9" s="340" t="s">
        <v>505</v>
      </c>
      <c r="D9" s="340" t="s">
        <v>506</v>
      </c>
      <c r="E9" s="339">
        <v>25</v>
      </c>
      <c r="F9" s="341">
        <v>7200000</v>
      </c>
      <c r="G9" s="341">
        <v>180000000</v>
      </c>
      <c r="H9" s="341">
        <v>18000000</v>
      </c>
      <c r="I9" s="341">
        <v>198000000</v>
      </c>
    </row>
    <row r="10" spans="1:9" ht="96">
      <c r="A10" s="339">
        <v>5</v>
      </c>
      <c r="B10" s="339" t="s">
        <v>507</v>
      </c>
      <c r="C10" s="340" t="s">
        <v>508</v>
      </c>
      <c r="D10" s="340" t="s">
        <v>509</v>
      </c>
      <c r="E10" s="339">
        <v>10</v>
      </c>
      <c r="F10" s="341">
        <v>5000000</v>
      </c>
      <c r="G10" s="341">
        <v>50000000</v>
      </c>
      <c r="H10" s="341">
        <v>5000000</v>
      </c>
      <c r="I10" s="341">
        <v>55000000</v>
      </c>
    </row>
    <row r="11" spans="1:9" ht="96">
      <c r="A11" s="339">
        <v>6</v>
      </c>
      <c r="B11" s="339" t="s">
        <v>510</v>
      </c>
      <c r="C11" s="340" t="s">
        <v>511</v>
      </c>
      <c r="D11" s="340" t="s">
        <v>512</v>
      </c>
      <c r="E11" s="339">
        <v>6</v>
      </c>
      <c r="F11" s="341">
        <v>5000000</v>
      </c>
      <c r="G11" s="341">
        <v>30000000</v>
      </c>
      <c r="H11" s="341">
        <v>3000000</v>
      </c>
      <c r="I11" s="341">
        <v>33000000</v>
      </c>
    </row>
    <row r="12" spans="1:9" ht="96">
      <c r="A12" s="339">
        <v>7</v>
      </c>
      <c r="B12" s="339" t="s">
        <v>513</v>
      </c>
      <c r="C12" s="340" t="s">
        <v>514</v>
      </c>
      <c r="D12" s="340" t="s">
        <v>515</v>
      </c>
      <c r="E12" s="339">
        <v>8</v>
      </c>
      <c r="F12" s="341">
        <v>5000000</v>
      </c>
      <c r="G12" s="341">
        <v>40000000</v>
      </c>
      <c r="H12" s="341">
        <v>4000000</v>
      </c>
      <c r="I12" s="341">
        <v>44000000</v>
      </c>
    </row>
    <row r="13" spans="1:9" ht="64">
      <c r="A13" s="339">
        <v>8</v>
      </c>
      <c r="B13" s="339" t="s">
        <v>516</v>
      </c>
      <c r="C13" s="340" t="s">
        <v>517</v>
      </c>
      <c r="D13" s="340" t="s">
        <v>518</v>
      </c>
      <c r="E13" s="339">
        <v>5</v>
      </c>
      <c r="F13" s="341">
        <v>4000000</v>
      </c>
      <c r="G13" s="341">
        <v>20000000</v>
      </c>
      <c r="H13" s="341">
        <v>2000000</v>
      </c>
      <c r="I13" s="341">
        <v>22000000</v>
      </c>
    </row>
    <row r="14" spans="1:9" ht="64">
      <c r="A14" s="339">
        <v>9</v>
      </c>
      <c r="B14" s="339" t="s">
        <v>519</v>
      </c>
      <c r="C14" s="340" t="s">
        <v>520</v>
      </c>
      <c r="D14" s="340" t="s">
        <v>521</v>
      </c>
      <c r="E14" s="339">
        <v>12</v>
      </c>
      <c r="F14" s="341">
        <v>10909090</v>
      </c>
      <c r="G14" s="341">
        <v>130909080</v>
      </c>
      <c r="H14" s="341">
        <v>13090908</v>
      </c>
      <c r="I14" s="341">
        <v>143999988</v>
      </c>
    </row>
    <row r="15" spans="1:9">
      <c r="A15" s="533" t="s">
        <v>522</v>
      </c>
      <c r="B15" s="534"/>
      <c r="C15" s="534"/>
      <c r="D15" s="534"/>
      <c r="E15" s="534"/>
      <c r="F15" s="535"/>
      <c r="G15" s="342">
        <v>1090909080</v>
      </c>
      <c r="H15" s="342">
        <v>109090908</v>
      </c>
      <c r="I15" s="343">
        <v>1199999988</v>
      </c>
    </row>
    <row r="18" spans="1:6" ht="24">
      <c r="A18" s="58" t="s">
        <v>523</v>
      </c>
    </row>
    <row r="20" spans="1:6">
      <c r="A20" s="46" t="s">
        <v>524</v>
      </c>
    </row>
    <row r="22" spans="1:6">
      <c r="A22" s="46" t="s">
        <v>525</v>
      </c>
      <c r="B22" s="46" t="s">
        <v>526</v>
      </c>
      <c r="C22" s="46" t="s">
        <v>527</v>
      </c>
      <c r="D22" s="46" t="s">
        <v>528</v>
      </c>
      <c r="E22" s="46" t="s">
        <v>529</v>
      </c>
      <c r="F22" s="46" t="s">
        <v>530</v>
      </c>
    </row>
    <row r="23" spans="1:6">
      <c r="A23" s="46" t="s">
        <v>531</v>
      </c>
      <c r="B23" s="47" t="s">
        <v>532</v>
      </c>
      <c r="C23" s="47" t="s">
        <v>533</v>
      </c>
      <c r="D23" s="47" t="s">
        <v>328</v>
      </c>
      <c r="E23" s="46">
        <v>0.8</v>
      </c>
      <c r="F23" s="47" t="s">
        <v>534</v>
      </c>
    </row>
    <row r="24" spans="1:6">
      <c r="B24" s="47" t="s">
        <v>535</v>
      </c>
      <c r="C24" s="47" t="s">
        <v>536</v>
      </c>
      <c r="D24" s="47" t="s">
        <v>328</v>
      </c>
      <c r="E24" s="46">
        <v>0.5</v>
      </c>
      <c r="F24" s="47" t="s">
        <v>537</v>
      </c>
    </row>
    <row r="25" spans="1:6">
      <c r="A25" s="46" t="s">
        <v>538</v>
      </c>
      <c r="B25" s="47" t="s">
        <v>539</v>
      </c>
      <c r="C25" s="47" t="s">
        <v>540</v>
      </c>
      <c r="D25" s="47" t="s">
        <v>328</v>
      </c>
      <c r="E25" s="46">
        <v>0.6</v>
      </c>
      <c r="F25" s="47" t="s">
        <v>541</v>
      </c>
    </row>
    <row r="26" spans="1:6">
      <c r="B26" s="47" t="s">
        <v>542</v>
      </c>
      <c r="C26" s="47" t="s">
        <v>543</v>
      </c>
      <c r="D26" s="47" t="s">
        <v>544</v>
      </c>
      <c r="E26" s="46">
        <v>0.2</v>
      </c>
      <c r="F26" s="47" t="s">
        <v>545</v>
      </c>
    </row>
    <row r="27" spans="1:6">
      <c r="A27" s="46" t="s">
        <v>546</v>
      </c>
      <c r="B27" s="47" t="s">
        <v>547</v>
      </c>
      <c r="C27" s="47" t="s">
        <v>548</v>
      </c>
      <c r="D27" s="47" t="s">
        <v>308</v>
      </c>
      <c r="E27" s="46">
        <v>0.6</v>
      </c>
      <c r="F27" s="47" t="s">
        <v>549</v>
      </c>
    </row>
    <row r="28" spans="1:6">
      <c r="B28" s="47" t="s">
        <v>550</v>
      </c>
      <c r="C28" s="47" t="s">
        <v>551</v>
      </c>
      <c r="D28" s="47" t="s">
        <v>552</v>
      </c>
      <c r="E28" s="46">
        <v>0.5</v>
      </c>
      <c r="F28" s="47" t="s">
        <v>553</v>
      </c>
    </row>
    <row r="29" spans="1:6">
      <c r="A29" s="46" t="s">
        <v>554</v>
      </c>
      <c r="B29" s="47" t="s">
        <v>555</v>
      </c>
      <c r="C29" s="47" t="s">
        <v>556</v>
      </c>
      <c r="D29" s="47" t="s">
        <v>307</v>
      </c>
      <c r="E29" s="46">
        <v>0.7</v>
      </c>
      <c r="F29" s="47" t="s">
        <v>557</v>
      </c>
    </row>
    <row r="30" spans="1:6">
      <c r="B30" s="47" t="s">
        <v>558</v>
      </c>
      <c r="C30" s="47" t="s">
        <v>559</v>
      </c>
      <c r="D30" s="47" t="s">
        <v>544</v>
      </c>
      <c r="E30" s="46">
        <v>0.2</v>
      </c>
      <c r="F30" s="47" t="s">
        <v>560</v>
      </c>
    </row>
    <row r="31" spans="1:6">
      <c r="B31" s="47" t="s">
        <v>561</v>
      </c>
      <c r="C31" s="47" t="s">
        <v>562</v>
      </c>
      <c r="D31" s="47" t="s">
        <v>328</v>
      </c>
      <c r="E31" s="46">
        <v>0.6</v>
      </c>
      <c r="F31" s="47" t="s">
        <v>563</v>
      </c>
    </row>
    <row r="32" spans="1:6">
      <c r="B32" s="47" t="s">
        <v>564</v>
      </c>
      <c r="C32" s="47" t="s">
        <v>565</v>
      </c>
      <c r="D32" s="47" t="s">
        <v>328</v>
      </c>
      <c r="E32" s="46">
        <v>0.3</v>
      </c>
      <c r="F32" s="47" t="s">
        <v>566</v>
      </c>
    </row>
    <row r="33" spans="1:6">
      <c r="A33" s="46" t="s">
        <v>567</v>
      </c>
      <c r="B33" s="47" t="s">
        <v>568</v>
      </c>
      <c r="C33" s="47" t="s">
        <v>569</v>
      </c>
      <c r="D33" s="47" t="s">
        <v>307</v>
      </c>
      <c r="E33" s="46">
        <v>0.4</v>
      </c>
      <c r="F33" s="47" t="s">
        <v>570</v>
      </c>
    </row>
    <row r="34" spans="1:6">
      <c r="B34" s="47" t="s">
        <v>571</v>
      </c>
      <c r="C34" s="47" t="s">
        <v>572</v>
      </c>
      <c r="D34" s="47" t="s">
        <v>573</v>
      </c>
      <c r="E34" s="46">
        <v>0.2</v>
      </c>
      <c r="F34" s="47" t="s">
        <v>574</v>
      </c>
    </row>
    <row r="35" spans="1:6">
      <c r="A35" s="47" t="s">
        <v>290</v>
      </c>
      <c r="E35" s="46">
        <f>SUM(E23:E34)</f>
        <v>5.6000000000000005</v>
      </c>
    </row>
  </sheetData>
  <mergeCells count="3">
    <mergeCell ref="A1:I1"/>
    <mergeCell ref="A4:G4"/>
    <mergeCell ref="A15:F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F9D8-BC01-5F49-8755-3CD2FFE1965B}">
  <dimension ref="A1:K38"/>
  <sheetViews>
    <sheetView topLeftCell="B19" workbookViewId="0">
      <selection activeCell="B39" sqref="B39"/>
    </sheetView>
  </sheetViews>
  <sheetFormatPr baseColWidth="10" defaultColWidth="9.1640625" defaultRowHeight="13"/>
  <cols>
    <col min="1" max="1" width="8.83203125" style="77" hidden="1" customWidth="1"/>
    <col min="2" max="2" width="40.5" style="129" customWidth="1"/>
    <col min="3" max="3" width="20.33203125" style="129" customWidth="1"/>
    <col min="4" max="4" width="11.1640625" style="130" customWidth="1"/>
    <col min="5" max="5" width="8.33203125" style="130" bestFit="1" customWidth="1"/>
    <col min="6" max="6" width="15" style="129" customWidth="1"/>
    <col min="7" max="7" width="15.33203125" style="131" bestFit="1" customWidth="1"/>
    <col min="8" max="8" width="17.5" style="77" customWidth="1"/>
    <col min="9" max="10" width="15.6640625" style="132" customWidth="1"/>
    <col min="11" max="11" width="47" style="78" customWidth="1"/>
    <col min="12" max="12" width="10.1640625" style="78" customWidth="1"/>
    <col min="13" max="16384" width="9.1640625" style="78"/>
  </cols>
  <sheetData>
    <row r="1" spans="1:11" ht="21">
      <c r="B1" s="542" t="s">
        <v>575</v>
      </c>
      <c r="C1" s="542"/>
      <c r="D1" s="542"/>
      <c r="E1" s="542"/>
      <c r="F1" s="542"/>
      <c r="G1" s="542"/>
      <c r="H1" s="542"/>
      <c r="I1" s="542"/>
      <c r="J1" s="542"/>
      <c r="K1" s="542"/>
    </row>
    <row r="3" spans="1:11" s="79" customFormat="1" ht="14">
      <c r="A3" s="543"/>
      <c r="B3" s="544" t="s">
        <v>576</v>
      </c>
      <c r="C3" s="546" t="s">
        <v>577</v>
      </c>
      <c r="D3" s="547"/>
      <c r="E3" s="547"/>
      <c r="F3" s="547"/>
      <c r="G3" s="547"/>
      <c r="H3" s="547"/>
      <c r="I3" s="547"/>
      <c r="J3" s="547"/>
      <c r="K3" s="548"/>
    </row>
    <row r="4" spans="1:11" s="79" customFormat="1" ht="31" thickBot="1">
      <c r="A4" s="543"/>
      <c r="B4" s="545"/>
      <c r="C4" s="344" t="s">
        <v>578</v>
      </c>
      <c r="D4" s="345" t="s">
        <v>579</v>
      </c>
      <c r="E4" s="345" t="s">
        <v>580</v>
      </c>
      <c r="F4" s="345" t="s">
        <v>581</v>
      </c>
      <c r="G4" s="346" t="s">
        <v>491</v>
      </c>
      <c r="H4" s="347" t="s">
        <v>582</v>
      </c>
      <c r="I4" s="347" t="s">
        <v>583</v>
      </c>
      <c r="J4" s="348" t="s">
        <v>584</v>
      </c>
      <c r="K4" s="349" t="s">
        <v>585</v>
      </c>
    </row>
    <row r="5" spans="1:11" s="81" customFormat="1" ht="15" thickBot="1">
      <c r="A5" s="350"/>
      <c r="B5" s="549" t="s">
        <v>586</v>
      </c>
      <c r="C5" s="550"/>
      <c r="D5" s="550"/>
      <c r="E5" s="550"/>
      <c r="F5" s="550"/>
      <c r="G5" s="551"/>
      <c r="H5" s="80">
        <f>SUM(H6:H12)</f>
        <v>942000000</v>
      </c>
      <c r="I5" s="351"/>
      <c r="J5" s="351"/>
      <c r="K5" s="352"/>
    </row>
    <row r="6" spans="1:11" s="87" customFormat="1" ht="45">
      <c r="A6" s="353"/>
      <c r="B6" s="82" t="s">
        <v>587</v>
      </c>
      <c r="C6" s="83" t="s">
        <v>588</v>
      </c>
      <c r="D6" s="84" t="s">
        <v>589</v>
      </c>
      <c r="E6" s="84">
        <v>1</v>
      </c>
      <c r="F6" s="84" t="s">
        <v>590</v>
      </c>
      <c r="G6" s="85">
        <v>35000000</v>
      </c>
      <c r="H6" s="86">
        <f>G6*E6</f>
        <v>35000000</v>
      </c>
      <c r="I6" s="354">
        <v>45962</v>
      </c>
      <c r="J6" s="354">
        <v>46327</v>
      </c>
      <c r="K6" s="355" t="s">
        <v>591</v>
      </c>
    </row>
    <row r="7" spans="1:11" s="87" customFormat="1" ht="30">
      <c r="A7" s="353"/>
      <c r="B7" s="82" t="s">
        <v>592</v>
      </c>
      <c r="C7" s="83" t="s">
        <v>593</v>
      </c>
      <c r="D7" s="84" t="s">
        <v>589</v>
      </c>
      <c r="E7" s="84">
        <v>1</v>
      </c>
      <c r="F7" s="84" t="s">
        <v>590</v>
      </c>
      <c r="G7" s="85">
        <v>60000000</v>
      </c>
      <c r="H7" s="86">
        <f>G7*E7</f>
        <v>60000000</v>
      </c>
      <c r="I7" s="354">
        <v>46082</v>
      </c>
      <c r="J7" s="354">
        <v>46143</v>
      </c>
      <c r="K7" s="355" t="s">
        <v>594</v>
      </c>
    </row>
    <row r="8" spans="1:11" s="87" customFormat="1" ht="30">
      <c r="A8" s="353"/>
      <c r="B8" s="82" t="s">
        <v>595</v>
      </c>
      <c r="C8" s="83" t="s">
        <v>596</v>
      </c>
      <c r="D8" s="84" t="s">
        <v>589</v>
      </c>
      <c r="E8" s="84">
        <v>1</v>
      </c>
      <c r="F8" s="84" t="s">
        <v>590</v>
      </c>
      <c r="G8" s="85">
        <v>40000000</v>
      </c>
      <c r="H8" s="86">
        <f>G8*E8</f>
        <v>40000000</v>
      </c>
      <c r="I8" s="354">
        <v>45717</v>
      </c>
      <c r="J8" s="354">
        <v>45778</v>
      </c>
      <c r="K8" s="355" t="s">
        <v>597</v>
      </c>
    </row>
    <row r="9" spans="1:11" s="87" customFormat="1" ht="16">
      <c r="A9" s="356"/>
      <c r="B9" s="357" t="s">
        <v>598</v>
      </c>
      <c r="C9" s="358" t="s">
        <v>599</v>
      </c>
      <c r="D9" s="359" t="s">
        <v>589</v>
      </c>
      <c r="E9" s="359">
        <v>1</v>
      </c>
      <c r="F9" s="359" t="s">
        <v>29</v>
      </c>
      <c r="G9" s="360">
        <v>72000000</v>
      </c>
      <c r="H9" s="86">
        <f t="shared" ref="H9:H12" si="0">G9*E9</f>
        <v>72000000</v>
      </c>
      <c r="I9" s="354"/>
      <c r="J9" s="354"/>
      <c r="K9" s="361" t="s">
        <v>600</v>
      </c>
    </row>
    <row r="10" spans="1:11" s="87" customFormat="1" ht="30">
      <c r="A10" s="356"/>
      <c r="B10" s="357" t="s">
        <v>601</v>
      </c>
      <c r="C10" s="358" t="s">
        <v>602</v>
      </c>
      <c r="D10" s="359" t="s">
        <v>589</v>
      </c>
      <c r="E10" s="359">
        <v>1</v>
      </c>
      <c r="F10" s="359" t="s">
        <v>603</v>
      </c>
      <c r="G10" s="360">
        <v>300000000</v>
      </c>
      <c r="H10" s="86">
        <f t="shared" si="0"/>
        <v>300000000</v>
      </c>
      <c r="I10" s="354"/>
      <c r="J10" s="354"/>
      <c r="K10" s="362" t="s">
        <v>604</v>
      </c>
    </row>
    <row r="11" spans="1:11" s="87" customFormat="1" ht="16">
      <c r="A11" s="356"/>
      <c r="B11" s="357" t="s">
        <v>605</v>
      </c>
      <c r="C11" s="358" t="s">
        <v>606</v>
      </c>
      <c r="D11" s="359" t="s">
        <v>589</v>
      </c>
      <c r="E11" s="359">
        <v>1</v>
      </c>
      <c r="F11" s="359" t="s">
        <v>590</v>
      </c>
      <c r="G11" s="360">
        <v>85000000</v>
      </c>
      <c r="H11" s="86">
        <f>G11*E11</f>
        <v>85000000</v>
      </c>
      <c r="I11" s="354"/>
      <c r="J11" s="354"/>
      <c r="K11" s="362" t="s">
        <v>607</v>
      </c>
    </row>
    <row r="12" spans="1:11" s="87" customFormat="1" ht="30">
      <c r="A12" s="356"/>
      <c r="B12" s="357" t="s">
        <v>608</v>
      </c>
      <c r="C12" s="358" t="s">
        <v>609</v>
      </c>
      <c r="D12" s="359" t="s">
        <v>589</v>
      </c>
      <c r="E12" s="359">
        <v>1</v>
      </c>
      <c r="F12" s="359" t="s">
        <v>590</v>
      </c>
      <c r="G12" s="360">
        <v>350000000</v>
      </c>
      <c r="H12" s="363">
        <f t="shared" si="0"/>
        <v>350000000</v>
      </c>
      <c r="I12" s="354"/>
      <c r="J12" s="354"/>
      <c r="K12" s="361" t="s">
        <v>610</v>
      </c>
    </row>
    <row r="13" spans="1:11" s="81" customFormat="1" ht="16" thickBot="1">
      <c r="A13" s="350"/>
      <c r="B13" s="88" t="s">
        <v>611</v>
      </c>
      <c r="C13" s="89"/>
      <c r="D13" s="89"/>
      <c r="E13" s="89"/>
      <c r="F13" s="89"/>
      <c r="G13" s="90"/>
      <c r="H13" s="91">
        <f>SUM(H14:H15)</f>
        <v>76000000</v>
      </c>
      <c r="I13" s="92"/>
      <c r="J13" s="93"/>
      <c r="K13" s="94"/>
    </row>
    <row r="14" spans="1:11" s="81" customFormat="1" ht="15">
      <c r="A14" s="364"/>
      <c r="B14" s="357" t="s">
        <v>612</v>
      </c>
      <c r="C14" s="365" t="s">
        <v>613</v>
      </c>
      <c r="D14" s="366" t="s">
        <v>432</v>
      </c>
      <c r="E14" s="367">
        <v>2</v>
      </c>
      <c r="F14" s="366" t="s">
        <v>614</v>
      </c>
      <c r="G14" s="368">
        <v>20000000</v>
      </c>
      <c r="H14" s="369">
        <f>G14*E14</f>
        <v>40000000</v>
      </c>
      <c r="I14" s="370"/>
      <c r="J14" s="371">
        <v>46023</v>
      </c>
      <c r="K14" s="361" t="s">
        <v>615</v>
      </c>
    </row>
    <row r="15" spans="1:11" s="81" customFormat="1" ht="15">
      <c r="A15" s="350"/>
      <c r="B15" s="357" t="s">
        <v>616</v>
      </c>
      <c r="C15" s="365" t="s">
        <v>613</v>
      </c>
      <c r="D15" s="366" t="s">
        <v>432</v>
      </c>
      <c r="E15" s="367">
        <v>2</v>
      </c>
      <c r="F15" s="366" t="s">
        <v>590</v>
      </c>
      <c r="G15" s="368">
        <v>18000000</v>
      </c>
      <c r="H15" s="372">
        <f>G15*E15</f>
        <v>36000000</v>
      </c>
      <c r="I15" s="370"/>
      <c r="J15" s="371">
        <v>46023</v>
      </c>
      <c r="K15" s="361" t="s">
        <v>617</v>
      </c>
    </row>
    <row r="16" spans="1:11" s="81" customFormat="1" ht="75">
      <c r="A16" s="350"/>
      <c r="B16" s="357" t="s">
        <v>618</v>
      </c>
      <c r="C16" s="365" t="s">
        <v>619</v>
      </c>
      <c r="D16" s="366" t="s">
        <v>432</v>
      </c>
      <c r="E16" s="367">
        <v>1</v>
      </c>
      <c r="F16" s="366" t="s">
        <v>590</v>
      </c>
      <c r="G16" s="368">
        <v>48000000</v>
      </c>
      <c r="H16" s="373">
        <f>G16*E16</f>
        <v>48000000</v>
      </c>
      <c r="I16" s="370"/>
      <c r="J16" s="371">
        <v>46111</v>
      </c>
      <c r="K16" s="361" t="s">
        <v>620</v>
      </c>
    </row>
    <row r="17" spans="1:11" s="81" customFormat="1" ht="15" thickBot="1">
      <c r="A17" s="350"/>
      <c r="B17" s="552" t="s">
        <v>621</v>
      </c>
      <c r="C17" s="553"/>
      <c r="D17" s="553"/>
      <c r="E17" s="553"/>
      <c r="F17" s="553"/>
      <c r="G17" s="554"/>
      <c r="H17" s="91">
        <f>SUM(H18:H21)</f>
        <v>201000000</v>
      </c>
      <c r="I17" s="92"/>
      <c r="J17" s="93"/>
      <c r="K17" s="94"/>
    </row>
    <row r="18" spans="1:11" s="81" customFormat="1" ht="45">
      <c r="A18" s="364"/>
      <c r="B18" s="357" t="s">
        <v>622</v>
      </c>
      <c r="C18" s="365" t="s">
        <v>623</v>
      </c>
      <c r="D18" s="366" t="s">
        <v>316</v>
      </c>
      <c r="E18" s="367">
        <v>1</v>
      </c>
      <c r="F18" s="366" t="s">
        <v>29</v>
      </c>
      <c r="G18" s="374">
        <v>60000000</v>
      </c>
      <c r="H18" s="373">
        <f>G18*E18</f>
        <v>60000000</v>
      </c>
      <c r="I18" s="375"/>
      <c r="J18" s="354">
        <v>46143</v>
      </c>
      <c r="K18" s="376" t="s">
        <v>624</v>
      </c>
    </row>
    <row r="19" spans="1:11" s="81" customFormat="1" ht="30">
      <c r="A19" s="364"/>
      <c r="B19" s="357" t="s">
        <v>625</v>
      </c>
      <c r="C19" s="365" t="s">
        <v>613</v>
      </c>
      <c r="D19" s="366" t="s">
        <v>316</v>
      </c>
      <c r="E19" s="367">
        <v>1</v>
      </c>
      <c r="F19" s="366" t="s">
        <v>590</v>
      </c>
      <c r="G19" s="374">
        <v>45000000</v>
      </c>
      <c r="H19" s="373">
        <f>G19*E19</f>
        <v>45000000</v>
      </c>
      <c r="I19" s="375"/>
      <c r="J19" s="354">
        <v>46023</v>
      </c>
      <c r="K19" s="376" t="s">
        <v>626</v>
      </c>
    </row>
    <row r="20" spans="1:11" s="81" customFormat="1" ht="45">
      <c r="A20" s="364"/>
      <c r="B20" s="377" t="s">
        <v>627</v>
      </c>
      <c r="C20" s="378" t="s">
        <v>613</v>
      </c>
      <c r="D20" s="379" t="s">
        <v>316</v>
      </c>
      <c r="E20" s="380">
        <v>1</v>
      </c>
      <c r="F20" s="379" t="s">
        <v>628</v>
      </c>
      <c r="G20" s="381">
        <v>80000000</v>
      </c>
      <c r="H20" s="382">
        <f t="shared" ref="H20" si="1">G20*E20</f>
        <v>80000000</v>
      </c>
      <c r="I20" s="383">
        <v>45658</v>
      </c>
      <c r="J20" s="384">
        <v>45717</v>
      </c>
      <c r="K20" s="385" t="s">
        <v>629</v>
      </c>
    </row>
    <row r="21" spans="1:11" s="81" customFormat="1" ht="30">
      <c r="A21" s="350"/>
      <c r="B21" s="357" t="s">
        <v>630</v>
      </c>
      <c r="C21" s="365" t="s">
        <v>613</v>
      </c>
      <c r="D21" s="366" t="s">
        <v>316</v>
      </c>
      <c r="E21" s="367">
        <v>2</v>
      </c>
      <c r="F21" s="366" t="s">
        <v>628</v>
      </c>
      <c r="G21" s="368">
        <v>8000000</v>
      </c>
      <c r="H21" s="373">
        <f>G21*E21</f>
        <v>16000000</v>
      </c>
      <c r="I21" s="375">
        <v>46082</v>
      </c>
      <c r="J21" s="354">
        <v>46111</v>
      </c>
      <c r="K21" s="362" t="s">
        <v>631</v>
      </c>
    </row>
    <row r="22" spans="1:11" s="81" customFormat="1" ht="15" thickBot="1">
      <c r="A22" s="350"/>
      <c r="B22" s="536" t="s">
        <v>544</v>
      </c>
      <c r="C22" s="537"/>
      <c r="D22" s="537"/>
      <c r="E22" s="537"/>
      <c r="F22" s="537"/>
      <c r="G22" s="538"/>
      <c r="H22" s="95">
        <f>SUM(H23:H27)</f>
        <v>63000000</v>
      </c>
      <c r="I22" s="96"/>
      <c r="J22" s="351"/>
      <c r="K22" s="94"/>
    </row>
    <row r="23" spans="1:11" s="81" customFormat="1" ht="15">
      <c r="A23" s="350"/>
      <c r="B23" s="97" t="s">
        <v>632</v>
      </c>
      <c r="C23" s="362" t="s">
        <v>633</v>
      </c>
      <c r="D23" s="358" t="s">
        <v>634</v>
      </c>
      <c r="E23" s="400">
        <v>1</v>
      </c>
      <c r="F23" s="358" t="s">
        <v>590</v>
      </c>
      <c r="G23" s="363">
        <v>10000000</v>
      </c>
      <c r="H23" s="401">
        <f>G23*E23</f>
        <v>10000000</v>
      </c>
      <c r="I23" s="402"/>
      <c r="J23" s="354">
        <v>46113</v>
      </c>
      <c r="K23" s="355" t="s">
        <v>635</v>
      </c>
    </row>
    <row r="24" spans="1:11" s="81" customFormat="1" ht="15">
      <c r="A24" s="350"/>
      <c r="B24" s="97" t="s">
        <v>636</v>
      </c>
      <c r="C24" s="362" t="s">
        <v>633</v>
      </c>
      <c r="D24" s="358" t="s">
        <v>634</v>
      </c>
      <c r="E24" s="400">
        <v>1</v>
      </c>
      <c r="F24" s="358" t="s">
        <v>29</v>
      </c>
      <c r="G24" s="363">
        <v>2500000</v>
      </c>
      <c r="H24" s="401">
        <f>G24*E24</f>
        <v>2500000</v>
      </c>
      <c r="I24" s="402">
        <v>46082</v>
      </c>
      <c r="J24" s="354">
        <v>46113</v>
      </c>
      <c r="K24" s="355" t="s">
        <v>637</v>
      </c>
    </row>
    <row r="25" spans="1:11" s="81" customFormat="1" ht="30">
      <c r="A25" s="350"/>
      <c r="B25" s="97" t="s">
        <v>638</v>
      </c>
      <c r="C25" s="362" t="s">
        <v>633</v>
      </c>
      <c r="D25" s="358" t="s">
        <v>634</v>
      </c>
      <c r="E25" s="400">
        <v>15</v>
      </c>
      <c r="F25" s="358" t="s">
        <v>628</v>
      </c>
      <c r="G25" s="363">
        <v>700000</v>
      </c>
      <c r="H25" s="401">
        <f>G25*E25</f>
        <v>10500000</v>
      </c>
      <c r="I25" s="402">
        <v>46204</v>
      </c>
      <c r="J25" s="354">
        <v>46235</v>
      </c>
      <c r="K25" s="355" t="s">
        <v>639</v>
      </c>
    </row>
    <row r="26" spans="1:11" s="81" customFormat="1" ht="15">
      <c r="A26" s="350"/>
      <c r="B26" s="97" t="s">
        <v>640</v>
      </c>
      <c r="C26" s="362" t="s">
        <v>633</v>
      </c>
      <c r="D26" s="358" t="s">
        <v>634</v>
      </c>
      <c r="E26" s="400">
        <v>1</v>
      </c>
      <c r="F26" s="358" t="s">
        <v>628</v>
      </c>
      <c r="G26" s="363">
        <v>40000000</v>
      </c>
      <c r="H26" s="401">
        <v>40000000</v>
      </c>
      <c r="I26" s="402">
        <v>46204</v>
      </c>
      <c r="J26" s="354">
        <v>46235</v>
      </c>
      <c r="K26" s="355" t="s">
        <v>641</v>
      </c>
    </row>
    <row r="27" spans="1:11" s="81" customFormat="1" ht="14">
      <c r="A27" s="350"/>
      <c r="B27" s="97"/>
      <c r="C27" s="362"/>
      <c r="D27" s="358"/>
      <c r="E27" s="400"/>
      <c r="F27" s="358"/>
      <c r="G27" s="363"/>
      <c r="H27" s="401"/>
      <c r="I27" s="402"/>
      <c r="J27" s="354"/>
      <c r="K27" s="355"/>
    </row>
    <row r="28" spans="1:11" s="81" customFormat="1" ht="14">
      <c r="A28" s="364"/>
      <c r="B28" s="539" t="s">
        <v>642</v>
      </c>
      <c r="C28" s="540"/>
      <c r="D28" s="540"/>
      <c r="E28" s="540"/>
      <c r="F28" s="540"/>
      <c r="G28" s="541"/>
      <c r="H28" s="98">
        <f>SUM(H29:H32)</f>
        <v>36500000</v>
      </c>
      <c r="I28" s="403"/>
      <c r="J28" s="404"/>
      <c r="K28" s="405"/>
    </row>
    <row r="29" spans="1:11" s="81" customFormat="1" ht="15">
      <c r="A29" s="350"/>
      <c r="B29" s="99" t="s">
        <v>643</v>
      </c>
      <c r="C29" s="99" t="s">
        <v>644</v>
      </c>
      <c r="D29" s="99"/>
      <c r="E29" s="100">
        <v>2</v>
      </c>
      <c r="F29" s="99" t="s">
        <v>590</v>
      </c>
      <c r="G29" s="101">
        <v>6000000</v>
      </c>
      <c r="H29" s="102">
        <f>G29*E29</f>
        <v>12000000</v>
      </c>
      <c r="I29" s="103"/>
      <c r="J29" s="384">
        <v>46054</v>
      </c>
      <c r="K29" s="104" t="s">
        <v>645</v>
      </c>
    </row>
    <row r="30" spans="1:11" s="81" customFormat="1" ht="15">
      <c r="A30" s="350"/>
      <c r="B30" s="406" t="s">
        <v>646</v>
      </c>
      <c r="C30" s="406" t="s">
        <v>647</v>
      </c>
      <c r="D30" s="406"/>
      <c r="E30" s="359">
        <v>2</v>
      </c>
      <c r="F30" s="406" t="s">
        <v>590</v>
      </c>
      <c r="G30" s="407">
        <v>3000000</v>
      </c>
      <c r="H30" s="408">
        <f>G30*E30</f>
        <v>6000000</v>
      </c>
      <c r="I30" s="409"/>
      <c r="J30" s="354">
        <v>46054</v>
      </c>
      <c r="K30" s="362"/>
    </row>
    <row r="31" spans="1:11" s="81" customFormat="1" ht="15">
      <c r="A31" s="350"/>
      <c r="B31" s="105" t="s">
        <v>648</v>
      </c>
      <c r="C31" s="105" t="s">
        <v>647</v>
      </c>
      <c r="D31" s="105"/>
      <c r="E31" s="84">
        <v>1</v>
      </c>
      <c r="F31" s="105" t="s">
        <v>590</v>
      </c>
      <c r="G31" s="106">
        <v>3500000</v>
      </c>
      <c r="H31" s="107">
        <f>G31*E31</f>
        <v>3500000</v>
      </c>
      <c r="I31" s="108"/>
      <c r="J31" s="109">
        <v>46054</v>
      </c>
      <c r="K31" s="110" t="s">
        <v>649</v>
      </c>
    </row>
    <row r="32" spans="1:11" s="81" customFormat="1" ht="90">
      <c r="A32" s="364"/>
      <c r="B32" s="82" t="s">
        <v>650</v>
      </c>
      <c r="C32" s="111" t="s">
        <v>647</v>
      </c>
      <c r="D32" s="112" t="s">
        <v>651</v>
      </c>
      <c r="E32" s="113">
        <v>1</v>
      </c>
      <c r="F32" s="112" t="s">
        <v>628</v>
      </c>
      <c r="G32" s="114">
        <v>15000000</v>
      </c>
      <c r="H32" s="115">
        <v>15000000</v>
      </c>
      <c r="I32" s="116">
        <v>45778</v>
      </c>
      <c r="J32" s="109">
        <v>46386</v>
      </c>
      <c r="K32" s="110" t="s">
        <v>652</v>
      </c>
    </row>
    <row r="33" spans="1:11" s="79" customFormat="1" ht="17">
      <c r="A33" s="410"/>
      <c r="B33" s="411" t="s">
        <v>653</v>
      </c>
      <c r="C33" s="411"/>
      <c r="D33" s="412"/>
      <c r="E33" s="413"/>
      <c r="F33" s="411"/>
      <c r="G33" s="414"/>
      <c r="H33" s="415" t="e">
        <f>H28+H22+#REF!+H17+H13+H5</f>
        <v>#REF!</v>
      </c>
      <c r="I33" s="416"/>
      <c r="J33" s="416"/>
      <c r="K33" s="417"/>
    </row>
    <row r="34" spans="1:11" s="117" customFormat="1">
      <c r="B34" s="118"/>
      <c r="C34" s="119"/>
      <c r="D34" s="120"/>
      <c r="E34" s="121"/>
      <c r="F34" s="119"/>
      <c r="G34" s="122"/>
      <c r="I34" s="123"/>
      <c r="J34" s="123"/>
    </row>
    <row r="35" spans="1:11" s="117" customFormat="1">
      <c r="B35" s="118"/>
      <c r="C35" s="119"/>
      <c r="D35" s="120"/>
      <c r="E35" s="121"/>
      <c r="F35" s="119"/>
      <c r="G35" s="122"/>
      <c r="I35" s="123"/>
      <c r="J35" s="123"/>
    </row>
    <row r="36" spans="1:11" s="81" customFormat="1">
      <c r="A36" s="117"/>
      <c r="B36" s="124"/>
      <c r="C36" s="125"/>
      <c r="D36" s="126"/>
      <c r="E36" s="126"/>
      <c r="F36" s="125"/>
      <c r="G36" s="127"/>
      <c r="I36" s="128"/>
      <c r="J36" s="128"/>
    </row>
    <row r="37" spans="1:11" ht="30">
      <c r="B37" s="31" t="s">
        <v>126</v>
      </c>
      <c r="J37" s="132" t="s">
        <v>654</v>
      </c>
    </row>
    <row r="38" spans="1:11" ht="14">
      <c r="B38" s="129" t="s">
        <v>655</v>
      </c>
    </row>
  </sheetData>
  <mergeCells count="8">
    <mergeCell ref="B22:G22"/>
    <mergeCell ref="B28:G28"/>
    <mergeCell ref="B1:K1"/>
    <mergeCell ref="A3:A4"/>
    <mergeCell ref="B3:B4"/>
    <mergeCell ref="C3:K3"/>
    <mergeCell ref="B5:G5"/>
    <mergeCell ref="B17:G17"/>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52B71-5C67-8041-B14B-F7C885ED9F3A}">
  <dimension ref="A1:M73"/>
  <sheetViews>
    <sheetView topLeftCell="A48" workbookViewId="0">
      <selection activeCell="C24" sqref="C24"/>
    </sheetView>
  </sheetViews>
  <sheetFormatPr baseColWidth="10" defaultColWidth="8.83203125" defaultRowHeight="15"/>
  <cols>
    <col min="1" max="1" width="7.33203125" customWidth="1"/>
    <col min="2" max="2" width="18.83203125" customWidth="1"/>
    <col min="3" max="3" width="46.6640625" customWidth="1"/>
    <col min="4" max="4" width="11.5" customWidth="1"/>
    <col min="5" max="5" width="10.83203125" bestFit="1" customWidth="1"/>
    <col min="6" max="6" width="9" bestFit="1" customWidth="1"/>
    <col min="7" max="7" width="9" customWidth="1"/>
    <col min="8" max="8" width="17.83203125" customWidth="1"/>
    <col min="9" max="9" width="15.83203125" customWidth="1"/>
    <col min="10" max="10" width="16.5" customWidth="1"/>
    <col min="11" max="11" width="16.1640625" customWidth="1"/>
    <col min="12" max="12" width="16.6640625" customWidth="1"/>
    <col min="13" max="13" width="55.83203125" customWidth="1"/>
    <col min="14" max="14" width="12.83203125" customWidth="1"/>
  </cols>
  <sheetData>
    <row r="1" spans="1:13" ht="16">
      <c r="A1" s="557" t="s">
        <v>656</v>
      </c>
      <c r="B1" s="557"/>
      <c r="C1" s="557"/>
    </row>
    <row r="2" spans="1:13" ht="16">
      <c r="A2" s="557" t="s">
        <v>657</v>
      </c>
      <c r="B2" s="557"/>
      <c r="C2" s="557"/>
    </row>
    <row r="3" spans="1:13" ht="8" customHeight="1">
      <c r="A3" s="51"/>
      <c r="B3" s="51"/>
      <c r="C3" s="51"/>
    </row>
    <row r="4" spans="1:13" ht="18">
      <c r="A4" s="558" t="s">
        <v>658</v>
      </c>
      <c r="B4" s="559"/>
      <c r="C4" s="559"/>
      <c r="D4" s="559"/>
      <c r="E4" s="559"/>
      <c r="F4" s="559"/>
      <c r="G4" s="559"/>
      <c r="H4" s="559"/>
      <c r="I4" s="559"/>
      <c r="J4" s="559"/>
      <c r="K4" s="559"/>
      <c r="L4" s="559"/>
      <c r="M4" s="559"/>
    </row>
    <row r="5" spans="1:13" ht="7" customHeight="1"/>
    <row r="6" spans="1:13" ht="51">
      <c r="A6" s="418" t="s">
        <v>659</v>
      </c>
      <c r="B6" s="418" t="s">
        <v>526</v>
      </c>
      <c r="C6" s="418" t="s">
        <v>660</v>
      </c>
      <c r="D6" s="418" t="s">
        <v>525</v>
      </c>
      <c r="E6" s="418" t="s">
        <v>661</v>
      </c>
      <c r="F6" s="418" t="s">
        <v>580</v>
      </c>
      <c r="G6" s="418" t="s">
        <v>662</v>
      </c>
      <c r="H6" s="418" t="s">
        <v>663</v>
      </c>
      <c r="I6" s="418" t="s">
        <v>664</v>
      </c>
      <c r="J6" s="418" t="s">
        <v>665</v>
      </c>
      <c r="K6" s="418" t="s">
        <v>666</v>
      </c>
      <c r="L6" s="418" t="s">
        <v>667</v>
      </c>
      <c r="M6" s="419" t="s">
        <v>668</v>
      </c>
    </row>
    <row r="7" spans="1:13" ht="31.25" customHeight="1">
      <c r="A7" s="420">
        <v>1</v>
      </c>
      <c r="B7" s="421" t="s">
        <v>669</v>
      </c>
      <c r="C7" s="422" t="s">
        <v>670</v>
      </c>
      <c r="D7" s="420" t="s">
        <v>671</v>
      </c>
      <c r="E7" s="420">
        <v>2026</v>
      </c>
      <c r="F7" s="420">
        <v>1</v>
      </c>
      <c r="G7" s="420" t="s">
        <v>672</v>
      </c>
      <c r="H7" s="423">
        <v>32000000</v>
      </c>
      <c r="I7" s="424">
        <f t="shared" ref="I7:I46" si="0">H7*F7</f>
        <v>32000000</v>
      </c>
      <c r="J7" s="423">
        <f t="shared" ref="J7:J12" si="1">I7*0</f>
        <v>0</v>
      </c>
      <c r="K7" s="423">
        <f t="shared" ref="K7:K31" si="2">SUM(I7:J7)</f>
        <v>32000000</v>
      </c>
      <c r="L7" s="425" t="s">
        <v>673</v>
      </c>
      <c r="M7" s="426" t="s">
        <v>674</v>
      </c>
    </row>
    <row r="8" spans="1:13" ht="31.25" customHeight="1">
      <c r="A8" s="420">
        <v>2</v>
      </c>
      <c r="B8" s="427" t="s">
        <v>675</v>
      </c>
      <c r="C8" s="422" t="s">
        <v>676</v>
      </c>
      <c r="D8" s="420" t="s">
        <v>677</v>
      </c>
      <c r="E8" s="420">
        <v>2026</v>
      </c>
      <c r="F8" s="420">
        <v>2</v>
      </c>
      <c r="G8" s="420" t="s">
        <v>678</v>
      </c>
      <c r="H8" s="423">
        <v>13560000</v>
      </c>
      <c r="I8" s="424">
        <f t="shared" si="0"/>
        <v>27120000</v>
      </c>
      <c r="J8" s="423">
        <f>I8*0.1</f>
        <v>2712000</v>
      </c>
      <c r="K8" s="423">
        <f t="shared" ref="K8:K10" si="3">SUM(I8:J8)</f>
        <v>29832000</v>
      </c>
      <c r="L8" s="425" t="s">
        <v>679</v>
      </c>
      <c r="M8" s="426"/>
    </row>
    <row r="9" spans="1:13" ht="31.25" customHeight="1">
      <c r="A9" s="420"/>
      <c r="B9" s="427" t="s">
        <v>680</v>
      </c>
      <c r="C9" s="422" t="s">
        <v>681</v>
      </c>
      <c r="D9" s="420" t="s">
        <v>677</v>
      </c>
      <c r="E9" s="420">
        <v>2026</v>
      </c>
      <c r="F9" s="420">
        <v>1</v>
      </c>
      <c r="G9" s="420" t="s">
        <v>682</v>
      </c>
      <c r="H9" s="423">
        <v>900000000</v>
      </c>
      <c r="I9" s="424">
        <f t="shared" si="0"/>
        <v>900000000</v>
      </c>
      <c r="J9" s="423">
        <f t="shared" ref="J9:J10" si="4">I9*0.1</f>
        <v>90000000</v>
      </c>
      <c r="K9" s="423">
        <f t="shared" si="3"/>
        <v>990000000</v>
      </c>
      <c r="L9" s="425"/>
      <c r="M9" s="426"/>
    </row>
    <row r="10" spans="1:13" ht="31.25" customHeight="1">
      <c r="A10" s="420"/>
      <c r="B10" s="427" t="s">
        <v>683</v>
      </c>
      <c r="C10" s="422" t="s">
        <v>684</v>
      </c>
      <c r="D10" s="420" t="s">
        <v>677</v>
      </c>
      <c r="E10" s="420">
        <v>2026</v>
      </c>
      <c r="F10" s="420">
        <v>2</v>
      </c>
      <c r="G10" s="420" t="s">
        <v>678</v>
      </c>
      <c r="H10" s="423">
        <v>147000000</v>
      </c>
      <c r="I10" s="424">
        <f t="shared" si="0"/>
        <v>294000000</v>
      </c>
      <c r="J10" s="423">
        <f t="shared" si="4"/>
        <v>29400000</v>
      </c>
      <c r="K10" s="423">
        <f t="shared" si="3"/>
        <v>323400000</v>
      </c>
      <c r="L10" s="425"/>
      <c r="M10" s="426"/>
    </row>
    <row r="11" spans="1:13" ht="22.25" customHeight="1">
      <c r="A11" s="420">
        <v>3</v>
      </c>
      <c r="B11" s="560" t="s">
        <v>685</v>
      </c>
      <c r="C11" s="422" t="s">
        <v>686</v>
      </c>
      <c r="D11" s="420" t="s">
        <v>677</v>
      </c>
      <c r="E11" s="420">
        <v>2026</v>
      </c>
      <c r="F11" s="420">
        <v>53</v>
      </c>
      <c r="G11" s="420" t="s">
        <v>672</v>
      </c>
      <c r="H11" s="423">
        <v>450000</v>
      </c>
      <c r="I11" s="424">
        <f t="shared" si="0"/>
        <v>23850000</v>
      </c>
      <c r="J11" s="423">
        <f t="shared" si="1"/>
        <v>0</v>
      </c>
      <c r="K11" s="423">
        <f t="shared" si="2"/>
        <v>23850000</v>
      </c>
      <c r="L11" s="425" t="s">
        <v>687</v>
      </c>
      <c r="M11" s="428" t="s">
        <v>688</v>
      </c>
    </row>
    <row r="12" spans="1:13" ht="22.25" customHeight="1">
      <c r="A12" s="420">
        <v>4</v>
      </c>
      <c r="B12" s="561"/>
      <c r="C12" s="429" t="s">
        <v>689</v>
      </c>
      <c r="D12" s="420" t="s">
        <v>677</v>
      </c>
      <c r="E12" s="420">
        <v>2026</v>
      </c>
      <c r="F12" s="420">
        <v>1</v>
      </c>
      <c r="G12" s="420" t="s">
        <v>672</v>
      </c>
      <c r="H12" s="423">
        <v>3200000</v>
      </c>
      <c r="I12" s="424">
        <f t="shared" si="0"/>
        <v>3200000</v>
      </c>
      <c r="J12" s="423">
        <f t="shared" si="1"/>
        <v>0</v>
      </c>
      <c r="K12" s="423">
        <f t="shared" ref="K12" si="5">SUM(I12:J12)</f>
        <v>3200000</v>
      </c>
      <c r="L12" s="425" t="s">
        <v>690</v>
      </c>
      <c r="M12" s="428" t="s">
        <v>691</v>
      </c>
    </row>
    <row r="13" spans="1:13" ht="22.25" customHeight="1">
      <c r="A13" s="420">
        <v>5</v>
      </c>
      <c r="B13" s="561"/>
      <c r="C13" s="422" t="s">
        <v>692</v>
      </c>
      <c r="D13" s="420" t="s">
        <v>677</v>
      </c>
      <c r="E13" s="420">
        <v>2026</v>
      </c>
      <c r="F13" s="420">
        <v>45</v>
      </c>
      <c r="G13" s="420" t="s">
        <v>544</v>
      </c>
      <c r="H13" s="423">
        <v>3200000</v>
      </c>
      <c r="I13" s="424">
        <f>H13*F13</f>
        <v>144000000</v>
      </c>
      <c r="J13" s="423">
        <f>H13*0.1</f>
        <v>320000</v>
      </c>
      <c r="K13" s="423">
        <f>SUM(I13:J13)</f>
        <v>144320000</v>
      </c>
      <c r="L13" s="425" t="s">
        <v>679</v>
      </c>
      <c r="M13" s="430" t="s">
        <v>693</v>
      </c>
    </row>
    <row r="14" spans="1:13" ht="22.25" customHeight="1">
      <c r="A14" s="420">
        <v>6</v>
      </c>
      <c r="B14" s="561"/>
      <c r="C14" s="422" t="s">
        <v>694</v>
      </c>
      <c r="D14" s="420" t="s">
        <v>677</v>
      </c>
      <c r="E14" s="420">
        <v>2026</v>
      </c>
      <c r="F14" s="420">
        <v>45</v>
      </c>
      <c r="G14" s="420" t="s">
        <v>544</v>
      </c>
      <c r="H14" s="423">
        <v>1680000</v>
      </c>
      <c r="I14" s="424">
        <f>H14*F14</f>
        <v>75600000</v>
      </c>
      <c r="J14" s="423">
        <f>H14*0.1</f>
        <v>168000</v>
      </c>
      <c r="K14" s="423">
        <f>SUM(I14:J14)</f>
        <v>75768000</v>
      </c>
      <c r="L14" s="425" t="s">
        <v>679</v>
      </c>
      <c r="M14" s="430" t="s">
        <v>693</v>
      </c>
    </row>
    <row r="15" spans="1:13" ht="34">
      <c r="A15" s="420">
        <v>7</v>
      </c>
      <c r="B15" s="561"/>
      <c r="C15" s="429" t="s">
        <v>695</v>
      </c>
      <c r="D15" s="420" t="s">
        <v>677</v>
      </c>
      <c r="E15" s="420">
        <v>2026</v>
      </c>
      <c r="F15" s="420">
        <v>15</v>
      </c>
      <c r="G15" s="420" t="s">
        <v>544</v>
      </c>
      <c r="H15" s="423">
        <v>10300000</v>
      </c>
      <c r="I15" s="424">
        <f>H15*F15</f>
        <v>154500000</v>
      </c>
      <c r="J15" s="423">
        <v>0</v>
      </c>
      <c r="K15" s="423">
        <f>SUM(I15:J15)</f>
        <v>154500000</v>
      </c>
      <c r="L15" s="425" t="s">
        <v>673</v>
      </c>
      <c r="M15" s="430" t="s">
        <v>696</v>
      </c>
    </row>
    <row r="16" spans="1:13" ht="68">
      <c r="A16" s="420">
        <v>8</v>
      </c>
      <c r="B16" s="561"/>
      <c r="C16" s="429" t="s">
        <v>697</v>
      </c>
      <c r="D16" s="420" t="s">
        <v>677</v>
      </c>
      <c r="E16" s="420">
        <v>2026</v>
      </c>
      <c r="F16" s="420">
        <v>10</v>
      </c>
      <c r="G16" s="420" t="s">
        <v>544</v>
      </c>
      <c r="H16" s="423">
        <v>37500000</v>
      </c>
      <c r="I16" s="424">
        <f t="shared" ref="I16:I20" si="6">H16*F16</f>
        <v>375000000</v>
      </c>
      <c r="J16" s="423">
        <v>0</v>
      </c>
      <c r="K16" s="423">
        <f t="shared" ref="K16:K20" si="7">SUM(I16:J16)</f>
        <v>375000000</v>
      </c>
      <c r="L16" s="425" t="s">
        <v>698</v>
      </c>
      <c r="M16" s="563" t="s">
        <v>699</v>
      </c>
    </row>
    <row r="17" spans="1:13" ht="51">
      <c r="A17" s="420">
        <v>9</v>
      </c>
      <c r="B17" s="561"/>
      <c r="C17" s="429" t="s">
        <v>700</v>
      </c>
      <c r="D17" s="420" t="s">
        <v>677</v>
      </c>
      <c r="E17" s="420">
        <v>2026</v>
      </c>
      <c r="F17" s="420">
        <v>4</v>
      </c>
      <c r="G17" s="420" t="s">
        <v>544</v>
      </c>
      <c r="H17" s="423">
        <v>35900000</v>
      </c>
      <c r="I17" s="424">
        <f t="shared" si="6"/>
        <v>143600000</v>
      </c>
      <c r="J17" s="423">
        <v>0</v>
      </c>
      <c r="K17" s="423">
        <f t="shared" si="7"/>
        <v>143600000</v>
      </c>
      <c r="L17" s="425" t="s">
        <v>698</v>
      </c>
      <c r="M17" s="564"/>
    </row>
    <row r="18" spans="1:13" ht="17">
      <c r="A18" s="420">
        <v>10</v>
      </c>
      <c r="B18" s="561"/>
      <c r="C18" s="429" t="s">
        <v>701</v>
      </c>
      <c r="D18" s="420" t="s">
        <v>677</v>
      </c>
      <c r="E18" s="420">
        <v>2026</v>
      </c>
      <c r="F18" s="420">
        <v>3</v>
      </c>
      <c r="G18" s="420" t="s">
        <v>544</v>
      </c>
      <c r="H18" s="423">
        <v>13600000</v>
      </c>
      <c r="I18" s="424">
        <f t="shared" si="6"/>
        <v>40800000</v>
      </c>
      <c r="J18" s="423">
        <v>0</v>
      </c>
      <c r="K18" s="423">
        <f t="shared" si="7"/>
        <v>40800000</v>
      </c>
      <c r="L18" s="425" t="s">
        <v>673</v>
      </c>
      <c r="M18" s="564"/>
    </row>
    <row r="19" spans="1:13" ht="51">
      <c r="A19" s="420">
        <v>11</v>
      </c>
      <c r="B19" s="561"/>
      <c r="C19" s="429" t="s">
        <v>702</v>
      </c>
      <c r="D19" s="420" t="s">
        <v>677</v>
      </c>
      <c r="E19" s="420">
        <v>2026</v>
      </c>
      <c r="F19" s="420">
        <v>4</v>
      </c>
      <c r="G19" s="420" t="s">
        <v>544</v>
      </c>
      <c r="H19" s="423">
        <v>11500000</v>
      </c>
      <c r="I19" s="424">
        <f t="shared" si="6"/>
        <v>46000000</v>
      </c>
      <c r="J19" s="423">
        <v>0</v>
      </c>
      <c r="K19" s="423">
        <f t="shared" si="7"/>
        <v>46000000</v>
      </c>
      <c r="L19" s="425" t="s">
        <v>698</v>
      </c>
      <c r="M19" s="564"/>
    </row>
    <row r="20" spans="1:13" ht="62.5" customHeight="1">
      <c r="A20" s="420">
        <v>12</v>
      </c>
      <c r="B20" s="562"/>
      <c r="C20" s="429" t="s">
        <v>703</v>
      </c>
      <c r="D20" s="420" t="s">
        <v>677</v>
      </c>
      <c r="E20" s="420">
        <v>2026</v>
      </c>
      <c r="F20" s="420">
        <v>4</v>
      </c>
      <c r="G20" s="420" t="s">
        <v>544</v>
      </c>
      <c r="H20" s="423">
        <v>11500000</v>
      </c>
      <c r="I20" s="424">
        <f t="shared" si="6"/>
        <v>46000000</v>
      </c>
      <c r="J20" s="423">
        <v>0</v>
      </c>
      <c r="K20" s="423">
        <f t="shared" si="7"/>
        <v>46000000</v>
      </c>
      <c r="L20" s="425" t="s">
        <v>698</v>
      </c>
      <c r="M20" s="565"/>
    </row>
    <row r="21" spans="1:13" ht="51">
      <c r="A21" s="420">
        <v>13</v>
      </c>
      <c r="B21" s="421" t="s">
        <v>704</v>
      </c>
      <c r="C21" s="429" t="s">
        <v>705</v>
      </c>
      <c r="D21" s="420" t="s">
        <v>677</v>
      </c>
      <c r="E21" s="420">
        <v>2026</v>
      </c>
      <c r="F21" s="420">
        <v>1</v>
      </c>
      <c r="G21" s="420" t="s">
        <v>706</v>
      </c>
      <c r="H21" s="53">
        <v>113400000</v>
      </c>
      <c r="I21" s="424">
        <f>H21*F21</f>
        <v>113400000</v>
      </c>
      <c r="J21" s="423">
        <f>H21*0.1</f>
        <v>11340000</v>
      </c>
      <c r="K21" s="423">
        <f>SUM(I21:J21)</f>
        <v>124740000</v>
      </c>
      <c r="L21" s="425" t="s">
        <v>707</v>
      </c>
      <c r="M21" s="430" t="s">
        <v>708</v>
      </c>
    </row>
    <row r="22" spans="1:13" ht="34">
      <c r="A22" s="420">
        <v>14</v>
      </c>
      <c r="B22" s="566" t="s">
        <v>709</v>
      </c>
      <c r="C22" s="567" t="s">
        <v>710</v>
      </c>
      <c r="D22" s="420" t="s">
        <v>711</v>
      </c>
      <c r="E22" s="420">
        <v>2026</v>
      </c>
      <c r="F22" s="420">
        <v>12</v>
      </c>
      <c r="G22" s="420" t="s">
        <v>712</v>
      </c>
      <c r="H22" s="431">
        <v>12410000</v>
      </c>
      <c r="I22" s="424">
        <f>H22*F22</f>
        <v>148920000</v>
      </c>
      <c r="J22" s="423">
        <f>I22*0.1</f>
        <v>14892000</v>
      </c>
      <c r="K22" s="423">
        <f t="shared" ref="K22:K24" si="8">SUM(I22:J22)</f>
        <v>163812000</v>
      </c>
      <c r="L22" s="425" t="s">
        <v>713</v>
      </c>
      <c r="M22" s="430" t="s">
        <v>714</v>
      </c>
    </row>
    <row r="23" spans="1:13" ht="25.25" customHeight="1">
      <c r="A23" s="420">
        <v>15</v>
      </c>
      <c r="B23" s="566"/>
      <c r="C23" s="568"/>
      <c r="D23" s="420" t="s">
        <v>711</v>
      </c>
      <c r="E23" s="420">
        <v>2026</v>
      </c>
      <c r="F23" s="420">
        <v>12</v>
      </c>
      <c r="G23" s="420" t="s">
        <v>712</v>
      </c>
      <c r="H23" s="423">
        <v>5454545</v>
      </c>
      <c r="I23" s="424">
        <f t="shared" si="0"/>
        <v>65454540</v>
      </c>
      <c r="J23" s="423">
        <f>I23*0.1</f>
        <v>6545454</v>
      </c>
      <c r="K23" s="423">
        <f t="shared" si="8"/>
        <v>71999994</v>
      </c>
      <c r="L23" s="425" t="s">
        <v>713</v>
      </c>
      <c r="M23" s="430" t="s">
        <v>715</v>
      </c>
    </row>
    <row r="24" spans="1:13" ht="34">
      <c r="A24" s="420">
        <v>16</v>
      </c>
      <c r="B24" s="421" t="s">
        <v>716</v>
      </c>
      <c r="C24" s="422" t="s">
        <v>717</v>
      </c>
      <c r="D24" s="420" t="s">
        <v>39</v>
      </c>
      <c r="E24" s="420">
        <v>2026</v>
      </c>
      <c r="F24" s="420">
        <v>1</v>
      </c>
      <c r="G24" s="420" t="s">
        <v>718</v>
      </c>
      <c r="H24" s="423">
        <f>49000000/2</f>
        <v>24500000</v>
      </c>
      <c r="I24" s="424">
        <f t="shared" si="0"/>
        <v>24500000</v>
      </c>
      <c r="J24" s="423">
        <f>I24*0.1</f>
        <v>2450000</v>
      </c>
      <c r="K24" s="423">
        <f t="shared" si="8"/>
        <v>26950000</v>
      </c>
      <c r="L24" s="425" t="s">
        <v>707</v>
      </c>
      <c r="M24" s="428" t="s">
        <v>719</v>
      </c>
    </row>
    <row r="25" spans="1:13" ht="17">
      <c r="A25" s="420">
        <v>17</v>
      </c>
      <c r="B25" s="566" t="s">
        <v>720</v>
      </c>
      <c r="C25" s="422" t="s">
        <v>721</v>
      </c>
      <c r="D25" s="420" t="s">
        <v>671</v>
      </c>
      <c r="E25" s="420">
        <v>2026</v>
      </c>
      <c r="F25" s="420">
        <v>1</v>
      </c>
      <c r="G25" s="420" t="s">
        <v>722</v>
      </c>
      <c r="H25" s="423">
        <v>24000000</v>
      </c>
      <c r="I25" s="424">
        <f t="shared" si="0"/>
        <v>24000000</v>
      </c>
      <c r="J25" s="423">
        <f>H25*0.1</f>
        <v>2400000</v>
      </c>
      <c r="K25" s="423">
        <f t="shared" si="2"/>
        <v>26400000</v>
      </c>
      <c r="L25" s="425" t="s">
        <v>698</v>
      </c>
      <c r="M25" s="428" t="s">
        <v>723</v>
      </c>
    </row>
    <row r="26" spans="1:13" ht="34">
      <c r="A26" s="420">
        <v>18</v>
      </c>
      <c r="B26" s="566"/>
      <c r="C26" s="422" t="s">
        <v>724</v>
      </c>
      <c r="D26" s="420" t="s">
        <v>671</v>
      </c>
      <c r="E26" s="420">
        <v>2026</v>
      </c>
      <c r="F26" s="420">
        <v>1</v>
      </c>
      <c r="G26" s="420" t="s">
        <v>722</v>
      </c>
      <c r="H26" s="423">
        <v>5454545</v>
      </c>
      <c r="I26" s="424">
        <f t="shared" si="0"/>
        <v>5454545</v>
      </c>
      <c r="J26" s="423">
        <f>H26*0.1</f>
        <v>545454.5</v>
      </c>
      <c r="K26" s="423">
        <f>SUM(I26:J26)</f>
        <v>5999999.5</v>
      </c>
      <c r="L26" s="425" t="s">
        <v>679</v>
      </c>
      <c r="M26" s="430" t="s">
        <v>725</v>
      </c>
    </row>
    <row r="27" spans="1:13" ht="34">
      <c r="A27" s="420">
        <v>19</v>
      </c>
      <c r="B27" s="566"/>
      <c r="C27" s="422" t="s">
        <v>726</v>
      </c>
      <c r="D27" s="420" t="s">
        <v>671</v>
      </c>
      <c r="E27" s="420">
        <v>2026</v>
      </c>
      <c r="F27" s="420">
        <v>1</v>
      </c>
      <c r="G27" s="420" t="s">
        <v>722</v>
      </c>
      <c r="H27" s="423">
        <f>6540000/1.1</f>
        <v>5945454.5454545449</v>
      </c>
      <c r="I27" s="424">
        <f t="shared" si="0"/>
        <v>5945454.5454545449</v>
      </c>
      <c r="J27" s="423">
        <f>H27*0.1</f>
        <v>594545.45454545447</v>
      </c>
      <c r="K27" s="423">
        <f t="shared" si="2"/>
        <v>6539999.9999999991</v>
      </c>
      <c r="L27" s="425" t="s">
        <v>727</v>
      </c>
      <c r="M27" s="428" t="s">
        <v>728</v>
      </c>
    </row>
    <row r="28" spans="1:13" ht="17">
      <c r="A28" s="420">
        <v>20</v>
      </c>
      <c r="B28" s="566"/>
      <c r="C28" s="422" t="s">
        <v>729</v>
      </c>
      <c r="D28" s="420" t="s">
        <v>671</v>
      </c>
      <c r="E28" s="420">
        <v>2026</v>
      </c>
      <c r="F28" s="420">
        <v>1</v>
      </c>
      <c r="G28" s="420" t="s">
        <v>722</v>
      </c>
      <c r="H28" s="423">
        <v>5454545</v>
      </c>
      <c r="I28" s="424">
        <f t="shared" si="0"/>
        <v>5454545</v>
      </c>
      <c r="J28" s="423">
        <f t="shared" ref="J28:J29" si="9">H28*0.1</f>
        <v>545454.5</v>
      </c>
      <c r="K28" s="423">
        <f t="shared" ref="K28:K30" si="10">SUM(I28:J28)</f>
        <v>5999999.5</v>
      </c>
      <c r="L28" s="425" t="s">
        <v>690</v>
      </c>
      <c r="M28" s="428" t="s">
        <v>730</v>
      </c>
    </row>
    <row r="29" spans="1:13" ht="21" customHeight="1">
      <c r="A29" s="420">
        <v>21</v>
      </c>
      <c r="B29" s="421" t="s">
        <v>731</v>
      </c>
      <c r="C29" s="422" t="s">
        <v>732</v>
      </c>
      <c r="D29" s="420" t="s">
        <v>671</v>
      </c>
      <c r="E29" s="420">
        <v>2026</v>
      </c>
      <c r="F29" s="420">
        <v>1</v>
      </c>
      <c r="G29" s="420" t="s">
        <v>722</v>
      </c>
      <c r="H29" s="423">
        <v>48000000</v>
      </c>
      <c r="I29" s="424">
        <f t="shared" si="0"/>
        <v>48000000</v>
      </c>
      <c r="J29" s="423">
        <f t="shared" si="9"/>
        <v>4800000</v>
      </c>
      <c r="K29" s="423">
        <f t="shared" si="10"/>
        <v>52800000</v>
      </c>
      <c r="L29" s="425" t="s">
        <v>733</v>
      </c>
      <c r="M29" s="428" t="s">
        <v>734</v>
      </c>
    </row>
    <row r="30" spans="1:13" ht="34">
      <c r="A30" s="420">
        <v>22</v>
      </c>
      <c r="B30" s="50" t="s">
        <v>735</v>
      </c>
      <c r="C30" s="422" t="s">
        <v>736</v>
      </c>
      <c r="D30" s="420" t="s">
        <v>39</v>
      </c>
      <c r="E30" s="420">
        <v>2026</v>
      </c>
      <c r="F30" s="420">
        <v>1</v>
      </c>
      <c r="G30" s="432" t="s">
        <v>678</v>
      </c>
      <c r="H30" s="433">
        <v>60000000</v>
      </c>
      <c r="I30" s="424">
        <f t="shared" si="0"/>
        <v>60000000</v>
      </c>
      <c r="J30" s="423">
        <f t="shared" ref="J30:J46" si="11">I30*0.1</f>
        <v>6000000</v>
      </c>
      <c r="K30" s="423">
        <f t="shared" si="10"/>
        <v>66000000</v>
      </c>
      <c r="L30" s="425" t="s">
        <v>733</v>
      </c>
      <c r="M30" s="430" t="s">
        <v>737</v>
      </c>
    </row>
    <row r="31" spans="1:13" ht="31.25" customHeight="1">
      <c r="A31" s="420">
        <v>23</v>
      </c>
      <c r="B31" s="560" t="s">
        <v>738</v>
      </c>
      <c r="C31" s="422" t="s">
        <v>739</v>
      </c>
      <c r="D31" s="420" t="s">
        <v>677</v>
      </c>
      <c r="E31" s="420">
        <v>2026</v>
      </c>
      <c r="F31" s="420">
        <v>3</v>
      </c>
      <c r="G31" s="420" t="s">
        <v>678</v>
      </c>
      <c r="H31" s="423">
        <v>11363636</v>
      </c>
      <c r="I31" s="424">
        <f t="shared" si="0"/>
        <v>34090908</v>
      </c>
      <c r="J31" s="423">
        <f t="shared" si="11"/>
        <v>3409090.8000000003</v>
      </c>
      <c r="K31" s="423">
        <f t="shared" si="2"/>
        <v>37499998.799999997</v>
      </c>
      <c r="L31" s="425" t="s">
        <v>687</v>
      </c>
      <c r="M31" s="430" t="s">
        <v>693</v>
      </c>
    </row>
    <row r="32" spans="1:13" ht="34">
      <c r="A32" s="420">
        <v>24</v>
      </c>
      <c r="B32" s="561"/>
      <c r="C32" s="422" t="s">
        <v>740</v>
      </c>
      <c r="D32" s="420" t="s">
        <v>677</v>
      </c>
      <c r="E32" s="420">
        <v>2026</v>
      </c>
      <c r="F32" s="420">
        <v>7</v>
      </c>
      <c r="G32" s="432" t="s">
        <v>678</v>
      </c>
      <c r="H32" s="433">
        <v>2050000</v>
      </c>
      <c r="I32" s="424">
        <f>H32*F32</f>
        <v>14350000</v>
      </c>
      <c r="J32" s="423">
        <f t="shared" si="11"/>
        <v>1435000</v>
      </c>
      <c r="K32" s="423">
        <f t="shared" ref="K32" si="12">SUM(I32:J32)</f>
        <v>15785000</v>
      </c>
      <c r="L32" s="425" t="s">
        <v>687</v>
      </c>
      <c r="M32" s="430" t="s">
        <v>693</v>
      </c>
    </row>
    <row r="33" spans="1:13" ht="22.25" customHeight="1">
      <c r="A33" s="420">
        <v>25</v>
      </c>
      <c r="B33" s="561"/>
      <c r="C33" s="422" t="s">
        <v>741</v>
      </c>
      <c r="D33" s="420" t="s">
        <v>677</v>
      </c>
      <c r="E33" s="420">
        <v>2026</v>
      </c>
      <c r="F33" s="420">
        <v>1</v>
      </c>
      <c r="G33" s="420" t="s">
        <v>678</v>
      </c>
      <c r="H33" s="423">
        <v>25000000</v>
      </c>
      <c r="I33" s="424">
        <f t="shared" si="0"/>
        <v>25000000</v>
      </c>
      <c r="J33" s="423">
        <f t="shared" si="11"/>
        <v>2500000</v>
      </c>
      <c r="K33" s="423">
        <f t="shared" ref="K33:K35" si="13">SUM(I33:J33)</f>
        <v>27500000</v>
      </c>
      <c r="L33" s="425" t="s">
        <v>687</v>
      </c>
      <c r="M33" s="430" t="s">
        <v>693</v>
      </c>
    </row>
    <row r="34" spans="1:13" ht="22.25" customHeight="1">
      <c r="A34" s="420">
        <v>26</v>
      </c>
      <c r="B34" s="561"/>
      <c r="C34" s="422" t="s">
        <v>742</v>
      </c>
      <c r="D34" s="420" t="s">
        <v>677</v>
      </c>
      <c r="E34" s="420">
        <v>2026</v>
      </c>
      <c r="F34" s="420">
        <v>1</v>
      </c>
      <c r="G34" s="420" t="s">
        <v>678</v>
      </c>
      <c r="H34" s="433">
        <v>30000000</v>
      </c>
      <c r="I34" s="424">
        <f t="shared" si="0"/>
        <v>30000000</v>
      </c>
      <c r="J34" s="423">
        <f t="shared" si="11"/>
        <v>3000000</v>
      </c>
      <c r="K34" s="423">
        <f t="shared" si="13"/>
        <v>33000000</v>
      </c>
      <c r="L34" s="425" t="s">
        <v>687</v>
      </c>
      <c r="M34" s="430" t="s">
        <v>743</v>
      </c>
    </row>
    <row r="35" spans="1:13" ht="22.25" customHeight="1">
      <c r="A35" s="420">
        <v>27</v>
      </c>
      <c r="B35" s="561"/>
      <c r="C35" s="422" t="s">
        <v>744</v>
      </c>
      <c r="D35" s="420" t="s">
        <v>677</v>
      </c>
      <c r="E35" s="420">
        <v>2026</v>
      </c>
      <c r="F35" s="420">
        <v>1</v>
      </c>
      <c r="G35" s="420" t="s">
        <v>678</v>
      </c>
      <c r="H35" s="423">
        <v>3450000</v>
      </c>
      <c r="I35" s="424">
        <f t="shared" si="0"/>
        <v>3450000</v>
      </c>
      <c r="J35" s="423">
        <f t="shared" si="11"/>
        <v>345000</v>
      </c>
      <c r="K35" s="423">
        <f t="shared" si="13"/>
        <v>3795000</v>
      </c>
      <c r="L35" s="425" t="s">
        <v>687</v>
      </c>
      <c r="M35" s="434" t="s">
        <v>745</v>
      </c>
    </row>
    <row r="36" spans="1:13" ht="22.25" customHeight="1">
      <c r="A36" s="420">
        <v>28</v>
      </c>
      <c r="B36" s="561"/>
      <c r="C36" s="422" t="s">
        <v>746</v>
      </c>
      <c r="D36" s="420" t="s">
        <v>677</v>
      </c>
      <c r="E36" s="420">
        <v>2026</v>
      </c>
      <c r="F36" s="420">
        <v>2</v>
      </c>
      <c r="G36" s="420" t="s">
        <v>678</v>
      </c>
      <c r="H36" s="433">
        <v>700000</v>
      </c>
      <c r="I36" s="424">
        <f t="shared" si="0"/>
        <v>1400000</v>
      </c>
      <c r="J36" s="423">
        <f t="shared" si="11"/>
        <v>140000</v>
      </c>
      <c r="K36" s="423">
        <f t="shared" ref="K36:K46" si="14">SUM(I36:J36)</f>
        <v>1540000</v>
      </c>
      <c r="L36" s="425" t="s">
        <v>687</v>
      </c>
      <c r="M36" s="563" t="s">
        <v>747</v>
      </c>
    </row>
    <row r="37" spans="1:13" ht="22.25" customHeight="1">
      <c r="A37" s="420">
        <v>29</v>
      </c>
      <c r="B37" s="561"/>
      <c r="C37" s="435" t="s">
        <v>748</v>
      </c>
      <c r="D37" s="420" t="s">
        <v>677</v>
      </c>
      <c r="E37" s="420">
        <v>2026</v>
      </c>
      <c r="F37" s="420">
        <v>1</v>
      </c>
      <c r="G37" s="420" t="s">
        <v>678</v>
      </c>
      <c r="H37" s="436">
        <v>35000000</v>
      </c>
      <c r="I37" s="424">
        <f t="shared" si="0"/>
        <v>35000000</v>
      </c>
      <c r="J37" s="423">
        <f t="shared" si="11"/>
        <v>3500000</v>
      </c>
      <c r="K37" s="423">
        <f t="shared" si="14"/>
        <v>38500000</v>
      </c>
      <c r="L37" s="425" t="s">
        <v>679</v>
      </c>
      <c r="M37" s="564"/>
    </row>
    <row r="38" spans="1:13" ht="22.25" customHeight="1">
      <c r="A38" s="420">
        <v>30</v>
      </c>
      <c r="B38" s="561"/>
      <c r="C38" s="435" t="s">
        <v>749</v>
      </c>
      <c r="D38" s="420" t="s">
        <v>677</v>
      </c>
      <c r="E38" s="420">
        <v>2026</v>
      </c>
      <c r="F38" s="420">
        <v>1</v>
      </c>
      <c r="G38" s="420" t="s">
        <v>678</v>
      </c>
      <c r="H38" s="436">
        <v>10000000</v>
      </c>
      <c r="I38" s="424">
        <f t="shared" si="0"/>
        <v>10000000</v>
      </c>
      <c r="J38" s="423">
        <f t="shared" si="11"/>
        <v>1000000</v>
      </c>
      <c r="K38" s="423">
        <f t="shared" si="14"/>
        <v>11000000</v>
      </c>
      <c r="L38" s="425" t="s">
        <v>679</v>
      </c>
      <c r="M38" s="565"/>
    </row>
    <row r="39" spans="1:13" ht="22.25" customHeight="1">
      <c r="A39" s="420">
        <v>31</v>
      </c>
      <c r="B39" s="561"/>
      <c r="C39" s="435" t="s">
        <v>750</v>
      </c>
      <c r="D39" s="420" t="s">
        <v>677</v>
      </c>
      <c r="E39" s="420">
        <v>2026</v>
      </c>
      <c r="F39" s="420">
        <v>1</v>
      </c>
      <c r="G39" s="420" t="s">
        <v>751</v>
      </c>
      <c r="H39" s="436">
        <v>40000000</v>
      </c>
      <c r="I39" s="424">
        <f t="shared" si="0"/>
        <v>40000000</v>
      </c>
      <c r="J39" s="423">
        <f t="shared" si="11"/>
        <v>4000000</v>
      </c>
      <c r="K39" s="423">
        <f t="shared" si="14"/>
        <v>44000000</v>
      </c>
      <c r="L39" s="425" t="s">
        <v>679</v>
      </c>
      <c r="M39" s="430" t="s">
        <v>752</v>
      </c>
    </row>
    <row r="40" spans="1:13" ht="37.75" customHeight="1">
      <c r="A40" s="420">
        <v>32</v>
      </c>
      <c r="B40" s="562"/>
      <c r="C40" s="435" t="s">
        <v>753</v>
      </c>
      <c r="D40" s="420" t="s">
        <v>677</v>
      </c>
      <c r="E40" s="420">
        <v>2026</v>
      </c>
      <c r="F40" s="420">
        <v>1</v>
      </c>
      <c r="G40" s="420" t="s">
        <v>678</v>
      </c>
      <c r="H40" s="436">
        <v>30100000</v>
      </c>
      <c r="I40" s="424">
        <f t="shared" si="0"/>
        <v>30100000</v>
      </c>
      <c r="J40" s="423">
        <f t="shared" si="11"/>
        <v>3010000</v>
      </c>
      <c r="K40" s="423">
        <f t="shared" si="14"/>
        <v>33110000</v>
      </c>
      <c r="L40" s="425" t="s">
        <v>679</v>
      </c>
      <c r="M40" s="430" t="s">
        <v>754</v>
      </c>
    </row>
    <row r="41" spans="1:13" ht="22.25" customHeight="1">
      <c r="A41" s="420">
        <v>33</v>
      </c>
      <c r="B41" s="427" t="s">
        <v>755</v>
      </c>
      <c r="C41" s="422" t="s">
        <v>741</v>
      </c>
      <c r="D41" s="420" t="s">
        <v>677</v>
      </c>
      <c r="E41" s="420">
        <v>2026</v>
      </c>
      <c r="F41" s="420">
        <v>5</v>
      </c>
      <c r="G41" s="420" t="s">
        <v>678</v>
      </c>
      <c r="H41" s="423">
        <v>25000000</v>
      </c>
      <c r="I41" s="424">
        <f t="shared" si="0"/>
        <v>125000000</v>
      </c>
      <c r="J41" s="423">
        <f t="shared" si="11"/>
        <v>12500000</v>
      </c>
      <c r="K41" s="423">
        <f t="shared" si="14"/>
        <v>137500000</v>
      </c>
      <c r="L41" s="425" t="s">
        <v>673</v>
      </c>
      <c r="M41" s="430" t="s">
        <v>756</v>
      </c>
    </row>
    <row r="42" spans="1:13" ht="22.25" customHeight="1">
      <c r="A42" s="420">
        <v>34</v>
      </c>
      <c r="B42" s="560" t="s">
        <v>757</v>
      </c>
      <c r="C42" s="435" t="s">
        <v>758</v>
      </c>
      <c r="D42" s="420" t="s">
        <v>677</v>
      </c>
      <c r="E42" s="420">
        <v>2026</v>
      </c>
      <c r="F42" s="420">
        <v>1</v>
      </c>
      <c r="G42" s="420" t="s">
        <v>678</v>
      </c>
      <c r="H42" s="436">
        <v>80000000</v>
      </c>
      <c r="I42" s="424">
        <f t="shared" si="0"/>
        <v>80000000</v>
      </c>
      <c r="J42" s="423">
        <f t="shared" si="11"/>
        <v>8000000</v>
      </c>
      <c r="K42" s="423">
        <f t="shared" si="14"/>
        <v>88000000</v>
      </c>
      <c r="L42" s="425" t="s">
        <v>698</v>
      </c>
      <c r="M42" s="563" t="s">
        <v>759</v>
      </c>
    </row>
    <row r="43" spans="1:13" ht="33.5" customHeight="1">
      <c r="A43" s="420">
        <v>35</v>
      </c>
      <c r="B43" s="561"/>
      <c r="C43" s="435" t="s">
        <v>760</v>
      </c>
      <c r="D43" s="420" t="s">
        <v>677</v>
      </c>
      <c r="E43" s="420">
        <v>2026</v>
      </c>
      <c r="F43" s="420">
        <v>1</v>
      </c>
      <c r="G43" s="420" t="s">
        <v>706</v>
      </c>
      <c r="H43" s="423">
        <v>250000000</v>
      </c>
      <c r="I43" s="424">
        <f t="shared" si="0"/>
        <v>250000000</v>
      </c>
      <c r="J43" s="423">
        <f t="shared" si="11"/>
        <v>25000000</v>
      </c>
      <c r="K43" s="423">
        <f t="shared" si="14"/>
        <v>275000000</v>
      </c>
      <c r="L43" s="425" t="s">
        <v>698</v>
      </c>
      <c r="M43" s="564"/>
    </row>
    <row r="44" spans="1:13" ht="22.25" customHeight="1">
      <c r="A44" s="420">
        <v>36</v>
      </c>
      <c r="B44" s="561"/>
      <c r="C44" s="435" t="s">
        <v>761</v>
      </c>
      <c r="D44" s="420" t="s">
        <v>677</v>
      </c>
      <c r="E44" s="420">
        <v>2026</v>
      </c>
      <c r="F44" s="420">
        <v>1</v>
      </c>
      <c r="G44" s="420" t="s">
        <v>678</v>
      </c>
      <c r="H44" s="423">
        <v>23000000</v>
      </c>
      <c r="I44" s="424">
        <f t="shared" si="0"/>
        <v>23000000</v>
      </c>
      <c r="J44" s="423">
        <f t="shared" si="11"/>
        <v>2300000</v>
      </c>
      <c r="K44" s="423">
        <f t="shared" si="14"/>
        <v>25300000</v>
      </c>
      <c r="L44" s="425" t="s">
        <v>698</v>
      </c>
      <c r="M44" s="564"/>
    </row>
    <row r="45" spans="1:13" ht="22.25" customHeight="1">
      <c r="A45" s="420">
        <v>37</v>
      </c>
      <c r="B45" s="561"/>
      <c r="C45" s="435" t="s">
        <v>762</v>
      </c>
      <c r="D45" s="420" t="s">
        <v>677</v>
      </c>
      <c r="E45" s="420">
        <v>2026</v>
      </c>
      <c r="F45" s="420">
        <v>6</v>
      </c>
      <c r="G45" s="420" t="s">
        <v>678</v>
      </c>
      <c r="H45" s="423">
        <f>6*7000000</f>
        <v>42000000</v>
      </c>
      <c r="I45" s="424">
        <f t="shared" si="0"/>
        <v>252000000</v>
      </c>
      <c r="J45" s="423">
        <f t="shared" si="11"/>
        <v>25200000</v>
      </c>
      <c r="K45" s="423">
        <f t="shared" si="14"/>
        <v>277200000</v>
      </c>
      <c r="L45" s="425" t="s">
        <v>698</v>
      </c>
      <c r="M45" s="564"/>
    </row>
    <row r="46" spans="1:13" ht="22.25" customHeight="1">
      <c r="A46" s="420">
        <v>38</v>
      </c>
      <c r="B46" s="562"/>
      <c r="C46" s="435" t="s">
        <v>763</v>
      </c>
      <c r="D46" s="420" t="s">
        <v>677</v>
      </c>
      <c r="E46" s="420">
        <v>2026</v>
      </c>
      <c r="F46" s="420">
        <v>2</v>
      </c>
      <c r="G46" s="420" t="s">
        <v>678</v>
      </c>
      <c r="H46" s="423">
        <f>2*7000000</f>
        <v>14000000</v>
      </c>
      <c r="I46" s="424">
        <f t="shared" si="0"/>
        <v>28000000</v>
      </c>
      <c r="J46" s="423">
        <f t="shared" si="11"/>
        <v>2800000</v>
      </c>
      <c r="K46" s="423">
        <f t="shared" si="14"/>
        <v>30800000</v>
      </c>
      <c r="L46" s="425" t="s">
        <v>698</v>
      </c>
      <c r="M46" s="565"/>
    </row>
    <row r="47" spans="1:13" ht="51.5" customHeight="1">
      <c r="A47" s="420">
        <v>39</v>
      </c>
      <c r="B47" s="50" t="s">
        <v>764</v>
      </c>
      <c r="C47" s="422" t="s">
        <v>765</v>
      </c>
      <c r="D47" s="420" t="s">
        <v>671</v>
      </c>
      <c r="E47" s="420">
        <v>2026</v>
      </c>
      <c r="F47" s="420">
        <v>1</v>
      </c>
      <c r="G47" s="420" t="s">
        <v>706</v>
      </c>
      <c r="H47" s="437">
        <v>450000000</v>
      </c>
      <c r="I47" s="424">
        <f>H47*F47</f>
        <v>450000000</v>
      </c>
      <c r="J47" s="423">
        <f>I47*0.1</f>
        <v>45000000</v>
      </c>
      <c r="K47" s="423">
        <f>SUM(I47:J47)</f>
        <v>495000000</v>
      </c>
      <c r="L47" s="438" t="s">
        <v>766</v>
      </c>
      <c r="M47" s="430" t="s">
        <v>767</v>
      </c>
    </row>
    <row r="48" spans="1:13" ht="70.75" customHeight="1">
      <c r="A48" s="420">
        <v>40</v>
      </c>
      <c r="B48" s="50" t="s">
        <v>768</v>
      </c>
      <c r="C48" s="439" t="s">
        <v>769</v>
      </c>
      <c r="D48" s="420" t="s">
        <v>671</v>
      </c>
      <c r="E48" s="420">
        <v>2026</v>
      </c>
      <c r="F48" s="420">
        <v>1</v>
      </c>
      <c r="G48" s="420" t="s">
        <v>706</v>
      </c>
      <c r="H48" s="437">
        <v>250000000</v>
      </c>
      <c r="I48" s="424">
        <f>H48*F48</f>
        <v>250000000</v>
      </c>
      <c r="J48" s="423">
        <f>I48*0.1</f>
        <v>25000000</v>
      </c>
      <c r="K48" s="423">
        <f>SUM(I48:J48)</f>
        <v>275000000</v>
      </c>
      <c r="L48" s="425" t="s">
        <v>770</v>
      </c>
      <c r="M48" s="430" t="s">
        <v>771</v>
      </c>
    </row>
    <row r="49" spans="1:13" ht="68">
      <c r="A49" s="420">
        <v>41</v>
      </c>
      <c r="B49" s="555" t="s">
        <v>772</v>
      </c>
      <c r="C49" s="435" t="s">
        <v>773</v>
      </c>
      <c r="D49" s="420" t="s">
        <v>671</v>
      </c>
      <c r="E49" s="420">
        <v>2026</v>
      </c>
      <c r="F49" s="420">
        <v>1</v>
      </c>
      <c r="G49" s="420" t="s">
        <v>706</v>
      </c>
      <c r="H49" s="423">
        <v>5971000000</v>
      </c>
      <c r="I49" s="424">
        <f t="shared" ref="I49:I50" si="15">H49*F49</f>
        <v>5971000000</v>
      </c>
      <c r="J49" s="423">
        <f t="shared" ref="J49:J58" si="16">I49*0.1</f>
        <v>597100000</v>
      </c>
      <c r="K49" s="423">
        <f>SUM(I49:J49)</f>
        <v>6568100000</v>
      </c>
      <c r="L49" s="425" t="s">
        <v>687</v>
      </c>
      <c r="M49" s="52" t="s">
        <v>774</v>
      </c>
    </row>
    <row r="50" spans="1:13" ht="34">
      <c r="A50" s="420"/>
      <c r="B50" s="556"/>
      <c r="C50" s="435" t="s">
        <v>775</v>
      </c>
      <c r="D50" s="420" t="s">
        <v>671</v>
      </c>
      <c r="E50" s="420">
        <v>2026</v>
      </c>
      <c r="F50" s="420">
        <v>1</v>
      </c>
      <c r="G50" s="420" t="s">
        <v>706</v>
      </c>
      <c r="H50" s="423">
        <v>200000000</v>
      </c>
      <c r="I50" s="424">
        <f t="shared" si="15"/>
        <v>200000000</v>
      </c>
      <c r="J50" s="423">
        <f t="shared" si="16"/>
        <v>20000000</v>
      </c>
      <c r="K50" s="423">
        <f>SUM(I50:J50)</f>
        <v>220000000</v>
      </c>
      <c r="L50" s="425"/>
      <c r="M50" s="52"/>
    </row>
    <row r="51" spans="1:13" ht="51">
      <c r="A51" s="420">
        <v>42</v>
      </c>
      <c r="B51" s="54" t="s">
        <v>776</v>
      </c>
      <c r="C51" s="435" t="s">
        <v>777</v>
      </c>
      <c r="D51" s="420" t="s">
        <v>671</v>
      </c>
      <c r="E51" s="420">
        <v>2026</v>
      </c>
      <c r="F51" s="420">
        <v>1</v>
      </c>
      <c r="G51" s="420" t="s">
        <v>706</v>
      </c>
      <c r="H51" s="423">
        <v>0</v>
      </c>
      <c r="I51" s="424">
        <v>0</v>
      </c>
      <c r="J51" s="423">
        <f t="shared" si="16"/>
        <v>0</v>
      </c>
      <c r="K51" s="423">
        <f t="shared" ref="K51:K58" si="17">SUM(I51:J51)</f>
        <v>0</v>
      </c>
      <c r="L51" s="425" t="s">
        <v>698</v>
      </c>
      <c r="M51" s="52" t="s">
        <v>778</v>
      </c>
    </row>
    <row r="52" spans="1:13" ht="50.5" customHeight="1">
      <c r="A52" s="420">
        <v>43</v>
      </c>
      <c r="B52" s="54" t="s">
        <v>779</v>
      </c>
      <c r="C52" s="435" t="s">
        <v>780</v>
      </c>
      <c r="D52" s="420" t="s">
        <v>671</v>
      </c>
      <c r="E52" s="420">
        <v>2026</v>
      </c>
      <c r="F52" s="420">
        <v>1</v>
      </c>
      <c r="G52" s="420" t="s">
        <v>706</v>
      </c>
      <c r="H52" s="423">
        <v>0</v>
      </c>
      <c r="I52" s="424">
        <v>0</v>
      </c>
      <c r="J52" s="423">
        <f t="shared" si="16"/>
        <v>0</v>
      </c>
      <c r="K52" s="423">
        <f t="shared" si="17"/>
        <v>0</v>
      </c>
      <c r="L52" s="425" t="s">
        <v>781</v>
      </c>
      <c r="M52" s="52" t="s">
        <v>782</v>
      </c>
    </row>
    <row r="53" spans="1:13" ht="51">
      <c r="A53" s="420">
        <v>44</v>
      </c>
      <c r="B53" s="421" t="s">
        <v>783</v>
      </c>
      <c r="C53" s="429" t="s">
        <v>784</v>
      </c>
      <c r="D53" s="420" t="s">
        <v>671</v>
      </c>
      <c r="E53" s="420">
        <v>2026</v>
      </c>
      <c r="F53" s="420">
        <v>1</v>
      </c>
      <c r="G53" s="420" t="s">
        <v>706</v>
      </c>
      <c r="H53" s="423">
        <v>0</v>
      </c>
      <c r="I53" s="424">
        <v>0</v>
      </c>
      <c r="J53" s="423">
        <f t="shared" si="16"/>
        <v>0</v>
      </c>
      <c r="K53" s="423">
        <f t="shared" si="17"/>
        <v>0</v>
      </c>
      <c r="L53" s="425"/>
      <c r="M53" s="430" t="s">
        <v>785</v>
      </c>
    </row>
    <row r="54" spans="1:13" ht="62.5" customHeight="1">
      <c r="A54" s="420">
        <v>45</v>
      </c>
      <c r="B54" s="560" t="s">
        <v>786</v>
      </c>
      <c r="C54" s="435" t="s">
        <v>787</v>
      </c>
      <c r="D54" s="420" t="s">
        <v>671</v>
      </c>
      <c r="E54" s="420">
        <v>2026</v>
      </c>
      <c r="F54" s="420">
        <v>1</v>
      </c>
      <c r="G54" s="420" t="s">
        <v>706</v>
      </c>
      <c r="H54" s="423">
        <v>6200000000</v>
      </c>
      <c r="I54" s="424">
        <f t="shared" ref="I54:I58" si="18">H54*F54</f>
        <v>6200000000</v>
      </c>
      <c r="J54" s="423">
        <f t="shared" si="16"/>
        <v>620000000</v>
      </c>
      <c r="K54" s="423">
        <f t="shared" si="17"/>
        <v>6820000000</v>
      </c>
      <c r="L54" s="570" t="s">
        <v>788</v>
      </c>
      <c r="M54" s="563" t="s">
        <v>789</v>
      </c>
    </row>
    <row r="55" spans="1:13" ht="24.5" customHeight="1">
      <c r="A55" s="420">
        <v>46</v>
      </c>
      <c r="B55" s="562"/>
      <c r="C55" s="440" t="s">
        <v>775</v>
      </c>
      <c r="D55" s="420" t="s">
        <v>671</v>
      </c>
      <c r="E55" s="420">
        <v>2026</v>
      </c>
      <c r="F55" s="420">
        <v>2</v>
      </c>
      <c r="G55" s="420" t="s">
        <v>706</v>
      </c>
      <c r="H55" s="423">
        <v>200000000</v>
      </c>
      <c r="I55" s="424">
        <f t="shared" si="18"/>
        <v>400000000</v>
      </c>
      <c r="J55" s="423">
        <f t="shared" si="16"/>
        <v>40000000</v>
      </c>
      <c r="K55" s="423">
        <f t="shared" si="17"/>
        <v>440000000</v>
      </c>
      <c r="L55" s="571"/>
      <c r="M55" s="565"/>
    </row>
    <row r="56" spans="1:13" ht="51">
      <c r="A56" s="420">
        <v>47</v>
      </c>
      <c r="B56" s="54" t="s">
        <v>790</v>
      </c>
      <c r="C56" s="435" t="s">
        <v>791</v>
      </c>
      <c r="D56" s="420" t="s">
        <v>671</v>
      </c>
      <c r="E56" s="420">
        <v>2026</v>
      </c>
      <c r="F56" s="420">
        <v>1</v>
      </c>
      <c r="G56" s="420" t="s">
        <v>706</v>
      </c>
      <c r="H56" s="441">
        <v>380890000</v>
      </c>
      <c r="I56" s="424">
        <f t="shared" si="18"/>
        <v>380890000</v>
      </c>
      <c r="J56" s="423">
        <f t="shared" si="16"/>
        <v>38089000</v>
      </c>
      <c r="K56" s="423">
        <f t="shared" si="17"/>
        <v>418979000</v>
      </c>
      <c r="L56" s="425" t="s">
        <v>781</v>
      </c>
      <c r="M56" s="52" t="s">
        <v>792</v>
      </c>
    </row>
    <row r="57" spans="1:13" ht="51">
      <c r="A57" s="420">
        <v>48</v>
      </c>
      <c r="B57" s="54" t="s">
        <v>793</v>
      </c>
      <c r="C57" s="435" t="s">
        <v>794</v>
      </c>
      <c r="D57" s="420" t="s">
        <v>671</v>
      </c>
      <c r="E57" s="420">
        <v>2026</v>
      </c>
      <c r="F57" s="420">
        <v>1</v>
      </c>
      <c r="G57" s="420" t="s">
        <v>706</v>
      </c>
      <c r="H57" s="441"/>
      <c r="I57" s="424">
        <f t="shared" si="18"/>
        <v>0</v>
      </c>
      <c r="J57" s="423">
        <f t="shared" si="16"/>
        <v>0</v>
      </c>
      <c r="K57" s="423">
        <f t="shared" si="17"/>
        <v>0</v>
      </c>
      <c r="L57" s="425" t="s">
        <v>781</v>
      </c>
      <c r="M57" s="52" t="s">
        <v>795</v>
      </c>
    </row>
    <row r="58" spans="1:13" ht="68">
      <c r="A58" s="420">
        <v>49</v>
      </c>
      <c r="B58" s="54" t="s">
        <v>796</v>
      </c>
      <c r="C58" s="435" t="s">
        <v>797</v>
      </c>
      <c r="D58" s="420" t="s">
        <v>671</v>
      </c>
      <c r="E58" s="420">
        <v>2026</v>
      </c>
      <c r="F58" s="420">
        <v>1</v>
      </c>
      <c r="G58" s="420" t="s">
        <v>706</v>
      </c>
      <c r="H58" s="441"/>
      <c r="I58" s="424">
        <f t="shared" si="18"/>
        <v>0</v>
      </c>
      <c r="J58" s="423">
        <f t="shared" si="16"/>
        <v>0</v>
      </c>
      <c r="K58" s="423">
        <f t="shared" si="17"/>
        <v>0</v>
      </c>
      <c r="L58" s="425" t="s">
        <v>673</v>
      </c>
      <c r="M58" s="52" t="s">
        <v>798</v>
      </c>
    </row>
    <row r="59" spans="1:13" ht="16">
      <c r="A59" s="572" t="s">
        <v>799</v>
      </c>
      <c r="B59" s="572"/>
      <c r="C59" s="572"/>
      <c r="D59" s="572"/>
      <c r="E59" s="572"/>
      <c r="F59" s="572"/>
      <c r="G59" s="572"/>
      <c r="H59" s="572"/>
      <c r="I59" s="442">
        <f>SUM(I7:I58)</f>
        <v>17640079992.545456</v>
      </c>
      <c r="J59" s="442">
        <f>SUM(J7:J58)</f>
        <v>1656040999.2545455</v>
      </c>
      <c r="K59" s="442">
        <f>SUM(K7:K58)</f>
        <v>19296120991.799999</v>
      </c>
      <c r="L59" s="442"/>
      <c r="M59" s="443"/>
    </row>
    <row r="60" spans="1:13">
      <c r="I60" s="49"/>
    </row>
    <row r="62" spans="1:13" ht="18">
      <c r="H62" s="55"/>
      <c r="I62" s="56"/>
      <c r="J62" s="57"/>
      <c r="K62" s="56"/>
      <c r="L62" s="15"/>
      <c r="M62" s="15"/>
    </row>
    <row r="64" spans="1:13" ht="16">
      <c r="A64" s="4"/>
      <c r="B64" s="4"/>
      <c r="C64" s="15"/>
      <c r="D64" s="569" t="s">
        <v>800</v>
      </c>
      <c r="E64" s="569"/>
      <c r="F64" s="569"/>
      <c r="G64" s="569"/>
      <c r="H64" s="569"/>
      <c r="I64" s="569"/>
      <c r="J64" s="15"/>
      <c r="K64" s="15"/>
      <c r="L64" s="15"/>
    </row>
    <row r="65" spans="1:12" ht="16">
      <c r="A65" s="4"/>
      <c r="B65" s="4"/>
      <c r="C65" s="15"/>
      <c r="D65" s="573"/>
      <c r="E65" s="573"/>
      <c r="F65" s="573"/>
      <c r="G65" s="573"/>
      <c r="H65" s="573"/>
      <c r="I65" s="573"/>
      <c r="J65" s="15"/>
      <c r="K65" s="15"/>
      <c r="L65" s="15"/>
    </row>
    <row r="66" spans="1:12" ht="16">
      <c r="A66" s="4"/>
      <c r="B66" s="4"/>
      <c r="C66" s="15"/>
      <c r="D66" s="573"/>
      <c r="E66" s="573"/>
      <c r="F66" s="573"/>
      <c r="G66" s="573"/>
      <c r="H66" s="573"/>
      <c r="I66" s="573"/>
      <c r="J66" s="15"/>
      <c r="K66" s="15"/>
      <c r="L66" s="15"/>
    </row>
    <row r="67" spans="1:12" ht="16">
      <c r="A67" s="4"/>
      <c r="B67" s="4"/>
      <c r="C67" s="15"/>
      <c r="D67" s="573"/>
      <c r="E67" s="573"/>
      <c r="F67" s="573"/>
      <c r="G67" s="573"/>
      <c r="H67" s="573"/>
      <c r="I67" s="573"/>
      <c r="J67" s="15"/>
      <c r="K67" s="15"/>
      <c r="L67" s="15"/>
    </row>
    <row r="68" spans="1:12" ht="16">
      <c r="A68" s="4"/>
      <c r="B68" s="4"/>
      <c r="C68" s="15"/>
      <c r="D68" s="573"/>
      <c r="E68" s="573"/>
      <c r="F68" s="573"/>
      <c r="G68" s="573"/>
      <c r="H68" s="573"/>
      <c r="I68" s="573"/>
      <c r="J68" s="15"/>
      <c r="K68" s="15"/>
      <c r="L68" s="15"/>
    </row>
    <row r="69" spans="1:12" ht="16">
      <c r="C69" s="15"/>
      <c r="D69" s="573"/>
      <c r="E69" s="573"/>
      <c r="F69" s="573"/>
      <c r="G69" s="573"/>
      <c r="H69" s="573"/>
      <c r="I69" s="573"/>
      <c r="J69" s="15"/>
      <c r="K69" s="15"/>
      <c r="L69" s="15"/>
    </row>
    <row r="70" spans="1:12" ht="16">
      <c r="C70" s="15"/>
      <c r="D70" s="573"/>
      <c r="E70" s="573"/>
      <c r="F70" s="573"/>
      <c r="G70" s="573"/>
      <c r="H70" s="573"/>
      <c r="I70" s="573"/>
      <c r="J70" s="15"/>
      <c r="K70" s="15"/>
      <c r="L70" s="15"/>
    </row>
    <row r="71" spans="1:12" ht="16">
      <c r="C71" s="15"/>
      <c r="D71" s="573"/>
      <c r="E71" s="573"/>
      <c r="F71" s="573"/>
      <c r="G71" s="573"/>
      <c r="H71" s="573"/>
      <c r="I71" s="573"/>
      <c r="J71" s="15"/>
      <c r="K71" s="15"/>
      <c r="L71" s="15"/>
    </row>
    <row r="72" spans="1:12" ht="16">
      <c r="C72" s="15"/>
      <c r="D72" s="573"/>
      <c r="E72" s="573"/>
      <c r="F72" s="573"/>
      <c r="G72" s="573"/>
      <c r="H72" s="573"/>
      <c r="I72" s="573"/>
      <c r="J72" s="15"/>
      <c r="K72" s="15"/>
      <c r="L72" s="15"/>
    </row>
    <row r="73" spans="1:12" ht="16">
      <c r="C73" s="15"/>
      <c r="D73" s="569" t="s">
        <v>801</v>
      </c>
      <c r="E73" s="569"/>
      <c r="F73" s="569"/>
      <c r="G73" s="569"/>
      <c r="H73" s="569"/>
      <c r="I73" s="569"/>
      <c r="J73" s="15"/>
      <c r="K73" s="15"/>
      <c r="L73" s="15"/>
    </row>
  </sheetData>
  <mergeCells count="20">
    <mergeCell ref="D73:I73"/>
    <mergeCell ref="B54:B55"/>
    <mergeCell ref="L54:L55"/>
    <mergeCell ref="M54:M55"/>
    <mergeCell ref="A59:H59"/>
    <mergeCell ref="D64:I64"/>
    <mergeCell ref="D65:I72"/>
    <mergeCell ref="B49:B50"/>
    <mergeCell ref="A1:C1"/>
    <mergeCell ref="A2:C2"/>
    <mergeCell ref="A4:M4"/>
    <mergeCell ref="B11:B20"/>
    <mergeCell ref="M16:M20"/>
    <mergeCell ref="B22:B23"/>
    <mergeCell ref="C22:C23"/>
    <mergeCell ref="B25:B28"/>
    <mergeCell ref="B31:B40"/>
    <mergeCell ref="M36:M38"/>
    <mergeCell ref="B42:B46"/>
    <mergeCell ref="M42:M4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3D8E-CA88-674B-9342-231AFA2547D1}">
  <dimension ref="A1:V49"/>
  <sheetViews>
    <sheetView topLeftCell="A34" workbookViewId="0">
      <selection activeCell="A35" sqref="A35"/>
    </sheetView>
  </sheetViews>
  <sheetFormatPr baseColWidth="10" defaultColWidth="9.1640625" defaultRowHeight="14"/>
  <cols>
    <col min="1" max="1" width="37.83203125" style="140" customWidth="1"/>
    <col min="2" max="2" width="8.5" style="134" customWidth="1"/>
    <col min="3" max="3" width="16" style="135" customWidth="1"/>
    <col min="4" max="4" width="15" style="135" customWidth="1"/>
    <col min="5" max="5" width="28.5" style="136" customWidth="1"/>
    <col min="6" max="6" width="11" style="137" customWidth="1"/>
    <col min="7" max="7" width="9.33203125" style="138" customWidth="1"/>
    <col min="8" max="8" width="14.5" style="134" customWidth="1"/>
    <col min="9" max="9" width="13.5" style="134" customWidth="1"/>
    <col min="10" max="21" width="12.5" style="139" customWidth="1"/>
    <col min="22" max="22" width="14.5" style="140" bestFit="1" customWidth="1"/>
    <col min="23" max="16384" width="9.1640625" style="134"/>
  </cols>
  <sheetData>
    <row r="1" spans="1:22" ht="15" thickBot="1">
      <c r="A1" s="133" t="s">
        <v>802</v>
      </c>
    </row>
    <row r="2" spans="1:22" s="150" customFormat="1" ht="30">
      <c r="A2" s="141" t="s">
        <v>803</v>
      </c>
      <c r="B2" s="142" t="s">
        <v>804</v>
      </c>
      <c r="C2" s="143" t="s">
        <v>491</v>
      </c>
      <c r="D2" s="144" t="s">
        <v>805</v>
      </c>
      <c r="E2" s="145" t="s">
        <v>806</v>
      </c>
      <c r="F2" s="146" t="s">
        <v>807</v>
      </c>
      <c r="G2" s="146" t="s">
        <v>808</v>
      </c>
      <c r="H2" s="147" t="s">
        <v>809</v>
      </c>
      <c r="I2" s="147" t="s">
        <v>810</v>
      </c>
      <c r="J2" s="148" t="s">
        <v>811</v>
      </c>
      <c r="K2" s="148" t="s">
        <v>812</v>
      </c>
      <c r="L2" s="148" t="s">
        <v>813</v>
      </c>
      <c r="M2" s="148" t="s">
        <v>814</v>
      </c>
      <c r="N2" s="148" t="s">
        <v>815</v>
      </c>
      <c r="O2" s="148" t="s">
        <v>816</v>
      </c>
      <c r="P2" s="148" t="s">
        <v>817</v>
      </c>
      <c r="Q2" s="148" t="s">
        <v>818</v>
      </c>
      <c r="R2" s="148" t="s">
        <v>819</v>
      </c>
      <c r="S2" s="148" t="s">
        <v>820</v>
      </c>
      <c r="T2" s="148" t="s">
        <v>821</v>
      </c>
      <c r="U2" s="148" t="s">
        <v>822</v>
      </c>
      <c r="V2" s="149" t="s">
        <v>823</v>
      </c>
    </row>
    <row r="3" spans="1:22">
      <c r="A3" s="151" t="s">
        <v>824</v>
      </c>
      <c r="B3" s="444"/>
      <c r="C3" s="444"/>
      <c r="D3" s="445">
        <f>SUM(D4:D42)-D6-D16-D21</f>
        <v>3176734600</v>
      </c>
      <c r="E3" s="446"/>
      <c r="F3" s="447"/>
      <c r="G3" s="447"/>
      <c r="H3" s="448"/>
      <c r="I3" s="448"/>
      <c r="J3" s="449">
        <f t="shared" ref="J3:V3" si="0">SUM(J4:J38)</f>
        <v>12351601</v>
      </c>
      <c r="K3" s="449">
        <f t="shared" si="0"/>
        <v>17212712</v>
      </c>
      <c r="L3" s="449">
        <f t="shared" si="0"/>
        <v>32004378</v>
      </c>
      <c r="M3" s="449">
        <f t="shared" si="0"/>
        <v>64504378</v>
      </c>
      <c r="N3" s="449">
        <f t="shared" si="0"/>
        <v>74779378</v>
      </c>
      <c r="O3" s="449">
        <f t="shared" si="0"/>
        <v>88586777</v>
      </c>
      <c r="P3" s="449">
        <f t="shared" si="0"/>
        <v>89420110.333333343</v>
      </c>
      <c r="Q3" s="449">
        <f t="shared" si="0"/>
        <v>89420110.333333343</v>
      </c>
      <c r="R3" s="449">
        <f t="shared" si="0"/>
        <v>89420110.333333343</v>
      </c>
      <c r="S3" s="449">
        <f t="shared" si="0"/>
        <v>89420098.333333343</v>
      </c>
      <c r="T3" s="449">
        <f t="shared" si="0"/>
        <v>89442791.333333343</v>
      </c>
      <c r="U3" s="449">
        <f t="shared" si="0"/>
        <v>95942791.333333343</v>
      </c>
      <c r="V3" s="152">
        <f t="shared" si="0"/>
        <v>692688471</v>
      </c>
    </row>
    <row r="4" spans="1:22">
      <c r="A4" s="153"/>
      <c r="B4" s="450"/>
      <c r="C4" s="451"/>
      <c r="D4" s="451"/>
      <c r="E4" s="452"/>
      <c r="F4" s="453"/>
      <c r="G4" s="454"/>
      <c r="H4" s="455"/>
      <c r="I4" s="455"/>
      <c r="J4" s="456"/>
      <c r="K4" s="456"/>
      <c r="L4" s="456"/>
      <c r="M4" s="457"/>
      <c r="N4" s="457"/>
      <c r="O4" s="457"/>
      <c r="P4" s="457"/>
      <c r="Q4" s="457"/>
      <c r="R4" s="457"/>
      <c r="S4" s="457"/>
      <c r="T4" s="457"/>
      <c r="U4" s="457"/>
      <c r="V4" s="154">
        <f>SUM(J4:U4)</f>
        <v>0</v>
      </c>
    </row>
    <row r="5" spans="1:22" ht="15">
      <c r="A5" s="155" t="s">
        <v>825</v>
      </c>
      <c r="B5" s="448">
        <v>2</v>
      </c>
      <c r="C5" s="458">
        <v>2600000</v>
      </c>
      <c r="D5" s="458">
        <f>+C5*B5</f>
        <v>5200000</v>
      </c>
      <c r="E5" s="459" t="s">
        <v>826</v>
      </c>
      <c r="F5" s="453" t="s">
        <v>827</v>
      </c>
      <c r="G5" s="460">
        <v>1</v>
      </c>
      <c r="H5" s="455">
        <f>ROUND(+D5/G5,0)</f>
        <v>5200000</v>
      </c>
      <c r="I5" s="455">
        <f>ROUND(+H5/12,0)</f>
        <v>433333</v>
      </c>
      <c r="J5" s="456"/>
      <c r="K5" s="456"/>
      <c r="L5" s="456"/>
      <c r="M5" s="456"/>
      <c r="N5" s="456"/>
      <c r="O5" s="456"/>
      <c r="P5" s="456"/>
      <c r="Q5" s="456"/>
      <c r="R5" s="456"/>
      <c r="S5" s="456"/>
      <c r="T5" s="457">
        <f>+U5</f>
        <v>433333</v>
      </c>
      <c r="U5" s="457">
        <f>+I5</f>
        <v>433333</v>
      </c>
      <c r="V5" s="154">
        <f>SUM(J5:U5)</f>
        <v>866666</v>
      </c>
    </row>
    <row r="6" spans="1:22" s="158" customFormat="1" ht="45">
      <c r="A6" s="156" t="s">
        <v>828</v>
      </c>
      <c r="B6" s="461"/>
      <c r="C6" s="462"/>
      <c r="D6" s="462">
        <f>SUM(D7:D10)</f>
        <v>100000000</v>
      </c>
      <c r="E6" s="463" t="s">
        <v>829</v>
      </c>
      <c r="F6" s="464"/>
      <c r="G6" s="465">
        <v>3</v>
      </c>
      <c r="H6" s="466"/>
      <c r="I6" s="466"/>
      <c r="J6" s="467">
        <f t="shared" ref="J6:U6" si="1">SUM(J7:J10)</f>
        <v>416667</v>
      </c>
      <c r="K6" s="467">
        <f t="shared" si="1"/>
        <v>1527778</v>
      </c>
      <c r="L6" s="467">
        <f t="shared" si="1"/>
        <v>1527778</v>
      </c>
      <c r="M6" s="467">
        <f t="shared" si="1"/>
        <v>1527778</v>
      </c>
      <c r="N6" s="467">
        <f t="shared" si="1"/>
        <v>1527778</v>
      </c>
      <c r="O6" s="467">
        <f t="shared" si="1"/>
        <v>1527778</v>
      </c>
      <c r="P6" s="467">
        <f t="shared" si="1"/>
        <v>1527778</v>
      </c>
      <c r="Q6" s="467">
        <f t="shared" si="1"/>
        <v>1527778</v>
      </c>
      <c r="R6" s="467">
        <f t="shared" si="1"/>
        <v>1527778</v>
      </c>
      <c r="S6" s="467">
        <f t="shared" si="1"/>
        <v>1527778</v>
      </c>
      <c r="T6" s="467">
        <f t="shared" si="1"/>
        <v>1527778</v>
      </c>
      <c r="U6" s="467">
        <f t="shared" si="1"/>
        <v>2777778</v>
      </c>
      <c r="V6" s="157"/>
    </row>
    <row r="7" spans="1:22" s="161" customFormat="1" ht="15">
      <c r="A7" s="159" t="s">
        <v>830</v>
      </c>
      <c r="B7" s="468">
        <v>1</v>
      </c>
      <c r="C7" s="469">
        <v>15000000</v>
      </c>
      <c r="D7" s="469">
        <f>+C7*B7</f>
        <v>15000000</v>
      </c>
      <c r="E7" s="470" t="s">
        <v>831</v>
      </c>
      <c r="F7" s="471" t="s">
        <v>832</v>
      </c>
      <c r="G7" s="472">
        <v>3</v>
      </c>
      <c r="H7" s="473">
        <f t="shared" ref="H7:H15" si="2">ROUND(+D7/G7,0)</f>
        <v>5000000</v>
      </c>
      <c r="I7" s="473">
        <f t="shared" ref="I7:I15" si="3">ROUND(+H7/12,0)</f>
        <v>416667</v>
      </c>
      <c r="J7" s="473">
        <f t="shared" ref="J7:U8" si="4">+$I7</f>
        <v>416667</v>
      </c>
      <c r="K7" s="473">
        <f t="shared" si="4"/>
        <v>416667</v>
      </c>
      <c r="L7" s="473">
        <f t="shared" si="4"/>
        <v>416667</v>
      </c>
      <c r="M7" s="473">
        <f t="shared" si="4"/>
        <v>416667</v>
      </c>
      <c r="N7" s="473">
        <f t="shared" si="4"/>
        <v>416667</v>
      </c>
      <c r="O7" s="473">
        <f t="shared" si="4"/>
        <v>416667</v>
      </c>
      <c r="P7" s="473">
        <f t="shared" si="4"/>
        <v>416667</v>
      </c>
      <c r="Q7" s="473">
        <f t="shared" si="4"/>
        <v>416667</v>
      </c>
      <c r="R7" s="473">
        <f t="shared" si="4"/>
        <v>416667</v>
      </c>
      <c r="S7" s="473">
        <f t="shared" si="4"/>
        <v>416667</v>
      </c>
      <c r="T7" s="473">
        <f t="shared" si="4"/>
        <v>416667</v>
      </c>
      <c r="U7" s="473">
        <f t="shared" si="4"/>
        <v>416667</v>
      </c>
      <c r="V7" s="160">
        <f t="shared" ref="V7:V15" si="5">SUM(J7:U7)</f>
        <v>5000004</v>
      </c>
    </row>
    <row r="8" spans="1:22" s="161" customFormat="1" ht="15">
      <c r="A8" s="159" t="s">
        <v>833</v>
      </c>
      <c r="B8" s="468">
        <v>1</v>
      </c>
      <c r="C8" s="469">
        <v>15000000</v>
      </c>
      <c r="D8" s="469">
        <f>+C8*B8</f>
        <v>15000000</v>
      </c>
      <c r="E8" s="470" t="s">
        <v>831</v>
      </c>
      <c r="F8" s="471" t="s">
        <v>834</v>
      </c>
      <c r="G8" s="472">
        <v>3</v>
      </c>
      <c r="H8" s="473">
        <f t="shared" si="2"/>
        <v>5000000</v>
      </c>
      <c r="I8" s="473">
        <f t="shared" si="3"/>
        <v>416667</v>
      </c>
      <c r="J8" s="473"/>
      <c r="K8" s="473">
        <f t="shared" si="4"/>
        <v>416667</v>
      </c>
      <c r="L8" s="473">
        <f t="shared" si="4"/>
        <v>416667</v>
      </c>
      <c r="M8" s="473">
        <f t="shared" si="4"/>
        <v>416667</v>
      </c>
      <c r="N8" s="473">
        <f t="shared" si="4"/>
        <v>416667</v>
      </c>
      <c r="O8" s="473">
        <f t="shared" si="4"/>
        <v>416667</v>
      </c>
      <c r="P8" s="473">
        <f t="shared" si="4"/>
        <v>416667</v>
      </c>
      <c r="Q8" s="473">
        <f t="shared" si="4"/>
        <v>416667</v>
      </c>
      <c r="R8" s="473">
        <f t="shared" si="4"/>
        <v>416667</v>
      </c>
      <c r="S8" s="473">
        <f t="shared" si="4"/>
        <v>416667</v>
      </c>
      <c r="T8" s="473">
        <f t="shared" si="4"/>
        <v>416667</v>
      </c>
      <c r="U8" s="473">
        <f t="shared" si="4"/>
        <v>416667</v>
      </c>
      <c r="V8" s="160">
        <f t="shared" si="5"/>
        <v>4583337</v>
      </c>
    </row>
    <row r="9" spans="1:22" s="161" customFormat="1" ht="15">
      <c r="A9" s="159" t="s">
        <v>835</v>
      </c>
      <c r="B9" s="468">
        <v>3</v>
      </c>
      <c r="C9" s="469">
        <v>15000000</v>
      </c>
      <c r="D9" s="469">
        <f>+C9*B9</f>
        <v>45000000</v>
      </c>
      <c r="E9" s="470" t="s">
        <v>831</v>
      </c>
      <c r="F9" s="471" t="s">
        <v>836</v>
      </c>
      <c r="G9" s="472">
        <v>3</v>
      </c>
      <c r="H9" s="473">
        <f t="shared" si="2"/>
        <v>15000000</v>
      </c>
      <c r="I9" s="473">
        <f t="shared" si="3"/>
        <v>1250000</v>
      </c>
      <c r="J9" s="468"/>
      <c r="K9" s="468"/>
      <c r="L9" s="468"/>
      <c r="M9" s="468"/>
      <c r="N9" s="468"/>
      <c r="O9" s="468"/>
      <c r="P9" s="468"/>
      <c r="Q9" s="468"/>
      <c r="R9" s="468"/>
      <c r="S9" s="468"/>
      <c r="T9" s="468"/>
      <c r="U9" s="473">
        <f>+I9</f>
        <v>1250000</v>
      </c>
      <c r="V9" s="160">
        <f t="shared" si="5"/>
        <v>1250000</v>
      </c>
    </row>
    <row r="10" spans="1:22" s="161" customFormat="1" ht="30">
      <c r="A10" s="159" t="s">
        <v>837</v>
      </c>
      <c r="B10" s="468">
        <v>10</v>
      </c>
      <c r="C10" s="469">
        <v>2500000</v>
      </c>
      <c r="D10" s="469">
        <f>+C10*B10</f>
        <v>25000000</v>
      </c>
      <c r="E10" s="470" t="s">
        <v>838</v>
      </c>
      <c r="F10" s="471" t="s">
        <v>834</v>
      </c>
      <c r="G10" s="472">
        <v>3</v>
      </c>
      <c r="H10" s="473">
        <f t="shared" si="2"/>
        <v>8333333</v>
      </c>
      <c r="I10" s="473">
        <f t="shared" si="3"/>
        <v>694444</v>
      </c>
      <c r="J10" s="473"/>
      <c r="K10" s="473">
        <f t="shared" ref="K10:U10" si="6">+$I10</f>
        <v>694444</v>
      </c>
      <c r="L10" s="473">
        <f t="shared" si="6"/>
        <v>694444</v>
      </c>
      <c r="M10" s="473">
        <f t="shared" si="6"/>
        <v>694444</v>
      </c>
      <c r="N10" s="473">
        <f t="shared" si="6"/>
        <v>694444</v>
      </c>
      <c r="O10" s="473">
        <f t="shared" si="6"/>
        <v>694444</v>
      </c>
      <c r="P10" s="473">
        <f t="shared" si="6"/>
        <v>694444</v>
      </c>
      <c r="Q10" s="473">
        <f t="shared" si="6"/>
        <v>694444</v>
      </c>
      <c r="R10" s="473">
        <f t="shared" si="6"/>
        <v>694444</v>
      </c>
      <c r="S10" s="473">
        <f t="shared" si="6"/>
        <v>694444</v>
      </c>
      <c r="T10" s="473">
        <f t="shared" si="6"/>
        <v>694444</v>
      </c>
      <c r="U10" s="473">
        <f t="shared" si="6"/>
        <v>694444</v>
      </c>
      <c r="V10" s="160">
        <f t="shared" si="5"/>
        <v>7638884</v>
      </c>
    </row>
    <row r="11" spans="1:22" ht="56">
      <c r="A11" s="162" t="s">
        <v>839</v>
      </c>
      <c r="B11" s="448">
        <v>10</v>
      </c>
      <c r="C11" s="458">
        <f>+(2000000+1500000)</f>
        <v>3500000</v>
      </c>
      <c r="D11" s="458">
        <f>+C11*B11</f>
        <v>35000000</v>
      </c>
      <c r="E11" s="474" t="s">
        <v>840</v>
      </c>
      <c r="F11" s="475" t="s">
        <v>841</v>
      </c>
      <c r="G11" s="460">
        <v>2</v>
      </c>
      <c r="H11" s="455">
        <f t="shared" si="2"/>
        <v>17500000</v>
      </c>
      <c r="I11" s="455">
        <f t="shared" si="3"/>
        <v>1458333</v>
      </c>
      <c r="J11" s="457"/>
      <c r="K11" s="456"/>
      <c r="L11" s="457">
        <f>+I11</f>
        <v>1458333</v>
      </c>
      <c r="M11" s="457">
        <f t="shared" ref="M11:U11" si="7">+L11</f>
        <v>1458333</v>
      </c>
      <c r="N11" s="457">
        <f t="shared" si="7"/>
        <v>1458333</v>
      </c>
      <c r="O11" s="457">
        <f t="shared" si="7"/>
        <v>1458333</v>
      </c>
      <c r="P11" s="457">
        <f t="shared" si="7"/>
        <v>1458333</v>
      </c>
      <c r="Q11" s="457">
        <f t="shared" si="7"/>
        <v>1458333</v>
      </c>
      <c r="R11" s="457">
        <f t="shared" si="7"/>
        <v>1458333</v>
      </c>
      <c r="S11" s="457">
        <f t="shared" si="7"/>
        <v>1458333</v>
      </c>
      <c r="T11" s="457">
        <f t="shared" si="7"/>
        <v>1458333</v>
      </c>
      <c r="U11" s="457">
        <f t="shared" si="7"/>
        <v>1458333</v>
      </c>
      <c r="V11" s="154">
        <f t="shared" si="5"/>
        <v>14583330</v>
      </c>
    </row>
    <row r="12" spans="1:22" ht="42">
      <c r="A12" s="162" t="s">
        <v>842</v>
      </c>
      <c r="B12" s="448">
        <v>10</v>
      </c>
      <c r="C12" s="458">
        <v>1500000</v>
      </c>
      <c r="D12" s="458"/>
      <c r="E12" s="474" t="s">
        <v>843</v>
      </c>
      <c r="F12" s="475" t="s">
        <v>844</v>
      </c>
      <c r="G12" s="460">
        <v>2</v>
      </c>
      <c r="H12" s="455">
        <f t="shared" si="2"/>
        <v>0</v>
      </c>
      <c r="I12" s="455">
        <f t="shared" si="3"/>
        <v>0</v>
      </c>
      <c r="J12" s="457"/>
      <c r="K12" s="456"/>
      <c r="L12" s="456"/>
      <c r="M12" s="456"/>
      <c r="N12" s="457">
        <f t="shared" ref="N12:U12" si="8">+$I12</f>
        <v>0</v>
      </c>
      <c r="O12" s="457">
        <f t="shared" si="8"/>
        <v>0</v>
      </c>
      <c r="P12" s="457">
        <f t="shared" si="8"/>
        <v>0</v>
      </c>
      <c r="Q12" s="457">
        <f t="shared" si="8"/>
        <v>0</v>
      </c>
      <c r="R12" s="457">
        <f t="shared" si="8"/>
        <v>0</v>
      </c>
      <c r="S12" s="457">
        <f t="shared" si="8"/>
        <v>0</v>
      </c>
      <c r="T12" s="457">
        <f t="shared" si="8"/>
        <v>0</v>
      </c>
      <c r="U12" s="457">
        <f t="shared" si="8"/>
        <v>0</v>
      </c>
      <c r="V12" s="154">
        <f t="shared" si="5"/>
        <v>0</v>
      </c>
    </row>
    <row r="13" spans="1:22" ht="15">
      <c r="A13" s="155" t="s">
        <v>845</v>
      </c>
      <c r="B13" s="448">
        <v>2</v>
      </c>
      <c r="C13" s="458">
        <v>11000000</v>
      </c>
      <c r="D13" s="458">
        <f>+C13*B13</f>
        <v>22000000</v>
      </c>
      <c r="E13" s="459" t="s">
        <v>826</v>
      </c>
      <c r="F13" s="475" t="s">
        <v>836</v>
      </c>
      <c r="G13" s="460">
        <v>2</v>
      </c>
      <c r="H13" s="455">
        <f t="shared" si="2"/>
        <v>11000000</v>
      </c>
      <c r="I13" s="455">
        <f t="shared" si="3"/>
        <v>916667</v>
      </c>
      <c r="J13" s="457"/>
      <c r="K13" s="456"/>
      <c r="L13" s="456"/>
      <c r="M13" s="456"/>
      <c r="N13" s="456"/>
      <c r="O13" s="456"/>
      <c r="P13" s="456"/>
      <c r="Q13" s="456"/>
      <c r="R13" s="456"/>
      <c r="S13" s="456"/>
      <c r="T13" s="456"/>
      <c r="U13" s="457">
        <f>+I13</f>
        <v>916667</v>
      </c>
      <c r="V13" s="154">
        <f t="shared" si="5"/>
        <v>916667</v>
      </c>
    </row>
    <row r="14" spans="1:22" ht="30">
      <c r="A14" s="155" t="s">
        <v>846</v>
      </c>
      <c r="B14" s="448">
        <v>1</v>
      </c>
      <c r="C14" s="458">
        <v>18000000</v>
      </c>
      <c r="D14" s="458">
        <f>+C14*B14</f>
        <v>18000000</v>
      </c>
      <c r="E14" s="459" t="s">
        <v>847</v>
      </c>
      <c r="F14" s="475" t="s">
        <v>832</v>
      </c>
      <c r="G14" s="460">
        <v>1</v>
      </c>
      <c r="H14" s="455">
        <f t="shared" si="2"/>
        <v>18000000</v>
      </c>
      <c r="I14" s="455">
        <f t="shared" si="3"/>
        <v>1500000</v>
      </c>
      <c r="J14" s="457">
        <f t="shared" ref="J14:U14" si="9">+I14</f>
        <v>1500000</v>
      </c>
      <c r="K14" s="457">
        <f t="shared" si="9"/>
        <v>1500000</v>
      </c>
      <c r="L14" s="457">
        <f t="shared" si="9"/>
        <v>1500000</v>
      </c>
      <c r="M14" s="457">
        <f t="shared" si="9"/>
        <v>1500000</v>
      </c>
      <c r="N14" s="457">
        <f t="shared" si="9"/>
        <v>1500000</v>
      </c>
      <c r="O14" s="457">
        <f t="shared" si="9"/>
        <v>1500000</v>
      </c>
      <c r="P14" s="457">
        <f t="shared" si="9"/>
        <v>1500000</v>
      </c>
      <c r="Q14" s="457">
        <f t="shared" si="9"/>
        <v>1500000</v>
      </c>
      <c r="R14" s="457">
        <f t="shared" si="9"/>
        <v>1500000</v>
      </c>
      <c r="S14" s="457">
        <f t="shared" si="9"/>
        <v>1500000</v>
      </c>
      <c r="T14" s="457">
        <f t="shared" si="9"/>
        <v>1500000</v>
      </c>
      <c r="U14" s="457">
        <f t="shared" si="9"/>
        <v>1500000</v>
      </c>
      <c r="V14" s="154">
        <f t="shared" si="5"/>
        <v>18000000</v>
      </c>
    </row>
    <row r="15" spans="1:22" ht="42">
      <c r="A15" s="155" t="s">
        <v>848</v>
      </c>
      <c r="B15" s="448">
        <v>2</v>
      </c>
      <c r="C15" s="458">
        <v>5000000</v>
      </c>
      <c r="D15" s="458">
        <f>+C15*B15</f>
        <v>10000000</v>
      </c>
      <c r="E15" s="474" t="s">
        <v>849</v>
      </c>
      <c r="F15" s="475" t="s">
        <v>841</v>
      </c>
      <c r="G15" s="460">
        <v>1</v>
      </c>
      <c r="H15" s="455">
        <f t="shared" si="2"/>
        <v>10000000</v>
      </c>
      <c r="I15" s="455">
        <f t="shared" si="3"/>
        <v>833333</v>
      </c>
      <c r="J15" s="457"/>
      <c r="K15" s="456"/>
      <c r="L15" s="457">
        <f>+I15</f>
        <v>833333</v>
      </c>
      <c r="M15" s="457">
        <f>+L15</f>
        <v>833333</v>
      </c>
      <c r="N15" s="457">
        <f>+M15</f>
        <v>833333</v>
      </c>
      <c r="O15" s="457">
        <f>+N15</f>
        <v>833333</v>
      </c>
      <c r="P15" s="457">
        <f>+O15</f>
        <v>833333</v>
      </c>
      <c r="Q15" s="457">
        <f>+P15</f>
        <v>833333</v>
      </c>
      <c r="R15" s="457">
        <f>+$I15</f>
        <v>833333</v>
      </c>
      <c r="S15" s="457">
        <f>+$I15</f>
        <v>833333</v>
      </c>
      <c r="T15" s="457">
        <f>+$I15</f>
        <v>833333</v>
      </c>
      <c r="U15" s="457">
        <f>+$I15</f>
        <v>833333</v>
      </c>
      <c r="V15" s="154">
        <f t="shared" si="5"/>
        <v>8333330</v>
      </c>
    </row>
    <row r="16" spans="1:22" s="158" customFormat="1" ht="28">
      <c r="A16" s="156" t="s">
        <v>850</v>
      </c>
      <c r="B16" s="461"/>
      <c r="C16" s="462"/>
      <c r="D16" s="462">
        <f>SUM(D17:D19)</f>
        <v>136354200</v>
      </c>
      <c r="E16" s="476" t="s">
        <v>851</v>
      </c>
      <c r="F16" s="461"/>
      <c r="G16" s="465">
        <v>1</v>
      </c>
      <c r="H16" s="466"/>
      <c r="I16" s="466"/>
      <c r="J16" s="477"/>
      <c r="K16" s="478"/>
      <c r="L16" s="477"/>
      <c r="M16" s="477"/>
      <c r="N16" s="477"/>
      <c r="O16" s="477">
        <f>SUM(O17:O19)</f>
        <v>10833438</v>
      </c>
      <c r="P16" s="477">
        <f t="shared" ref="P16:U16" si="10">SUM(P17:P19)</f>
        <v>10833438</v>
      </c>
      <c r="Q16" s="477">
        <f t="shared" si="10"/>
        <v>10833438</v>
      </c>
      <c r="R16" s="477">
        <f t="shared" si="10"/>
        <v>10833438</v>
      </c>
      <c r="S16" s="477">
        <f t="shared" si="10"/>
        <v>10833438</v>
      </c>
      <c r="T16" s="477">
        <f t="shared" si="10"/>
        <v>10833438</v>
      </c>
      <c r="U16" s="477">
        <f t="shared" si="10"/>
        <v>10833438</v>
      </c>
      <c r="V16" s="157"/>
    </row>
    <row r="17" spans="1:22" ht="15">
      <c r="A17" s="159" t="s">
        <v>852</v>
      </c>
      <c r="B17" s="448">
        <v>1</v>
      </c>
      <c r="C17" s="479">
        <f>12*1862850</f>
        <v>22354200</v>
      </c>
      <c r="D17" s="458">
        <f>+C17*B17</f>
        <v>22354200</v>
      </c>
      <c r="E17" s="480" t="s">
        <v>853</v>
      </c>
      <c r="F17" s="475" t="s">
        <v>854</v>
      </c>
      <c r="G17" s="460">
        <v>1</v>
      </c>
      <c r="H17" s="455">
        <f>ROUND(+D17/G17,0)</f>
        <v>22354200</v>
      </c>
      <c r="I17" s="455">
        <f>ROUND(+H17/12,0)</f>
        <v>1862850</v>
      </c>
      <c r="J17" s="457"/>
      <c r="K17" s="457"/>
      <c r="L17" s="457"/>
      <c r="M17" s="457"/>
      <c r="N17" s="457"/>
      <c r="O17" s="457">
        <f>+I17</f>
        <v>1862850</v>
      </c>
      <c r="P17" s="457">
        <f t="shared" ref="P17:U19" si="11">+O17</f>
        <v>1862850</v>
      </c>
      <c r="Q17" s="457">
        <f t="shared" si="11"/>
        <v>1862850</v>
      </c>
      <c r="R17" s="457">
        <f t="shared" si="11"/>
        <v>1862850</v>
      </c>
      <c r="S17" s="457">
        <f t="shared" si="11"/>
        <v>1862850</v>
      </c>
      <c r="T17" s="457">
        <f t="shared" si="11"/>
        <v>1862850</v>
      </c>
      <c r="U17" s="457">
        <f t="shared" si="11"/>
        <v>1862850</v>
      </c>
      <c r="V17" s="154">
        <f>SUM(J17:U17)</f>
        <v>13039950</v>
      </c>
    </row>
    <row r="18" spans="1:22" ht="15">
      <c r="A18" s="159" t="s">
        <v>855</v>
      </c>
      <c r="B18" s="448">
        <v>1</v>
      </c>
      <c r="C18" s="479">
        <v>21600000</v>
      </c>
      <c r="D18" s="458">
        <f>+C18*B18</f>
        <v>21600000</v>
      </c>
      <c r="E18" s="480" t="s">
        <v>856</v>
      </c>
      <c r="F18" s="475" t="s">
        <v>832</v>
      </c>
      <c r="G18" s="460">
        <f>17/12</f>
        <v>1.4166666666666667</v>
      </c>
      <c r="H18" s="455">
        <f>ROUND(+D18/G18,0)</f>
        <v>15247059</v>
      </c>
      <c r="I18" s="455">
        <f>ROUND(+H18/12,0)</f>
        <v>1270588</v>
      </c>
      <c r="J18" s="457">
        <f t="shared" ref="J18:O18" si="12">+I18</f>
        <v>1270588</v>
      </c>
      <c r="K18" s="457">
        <f t="shared" si="12"/>
        <v>1270588</v>
      </c>
      <c r="L18" s="457">
        <f t="shared" si="12"/>
        <v>1270588</v>
      </c>
      <c r="M18" s="457">
        <f t="shared" si="12"/>
        <v>1270588</v>
      </c>
      <c r="N18" s="457">
        <f t="shared" si="12"/>
        <v>1270588</v>
      </c>
      <c r="O18" s="457">
        <f t="shared" si="12"/>
        <v>1270588</v>
      </c>
      <c r="P18" s="457">
        <f t="shared" si="11"/>
        <v>1270588</v>
      </c>
      <c r="Q18" s="457">
        <f t="shared" si="11"/>
        <v>1270588</v>
      </c>
      <c r="R18" s="457">
        <f t="shared" si="11"/>
        <v>1270588</v>
      </c>
      <c r="S18" s="457">
        <f t="shared" si="11"/>
        <v>1270588</v>
      </c>
      <c r="T18" s="457">
        <f t="shared" si="11"/>
        <v>1270588</v>
      </c>
      <c r="U18" s="457">
        <f t="shared" si="11"/>
        <v>1270588</v>
      </c>
      <c r="V18" s="154"/>
    </row>
    <row r="19" spans="1:22" ht="15">
      <c r="A19" s="159" t="s">
        <v>857</v>
      </c>
      <c r="B19" s="448">
        <v>1</v>
      </c>
      <c r="C19" s="479">
        <v>92400000</v>
      </c>
      <c r="D19" s="458">
        <f>+C19*B19</f>
        <v>92400000</v>
      </c>
      <c r="E19" s="480" t="s">
        <v>853</v>
      </c>
      <c r="F19" s="475" t="s">
        <v>844</v>
      </c>
      <c r="G19" s="460">
        <v>1</v>
      </c>
      <c r="H19" s="455">
        <f>ROUND(+D19/G19,0)</f>
        <v>92400000</v>
      </c>
      <c r="I19" s="455">
        <f>ROUND(+H19/12,0)</f>
        <v>7700000</v>
      </c>
      <c r="J19" s="457"/>
      <c r="K19" s="457"/>
      <c r="L19" s="457"/>
      <c r="M19" s="457"/>
      <c r="N19" s="457">
        <f>+I19</f>
        <v>7700000</v>
      </c>
      <c r="O19" s="457">
        <f>+N19</f>
        <v>7700000</v>
      </c>
      <c r="P19" s="457">
        <f t="shared" si="11"/>
        <v>7700000</v>
      </c>
      <c r="Q19" s="457">
        <f t="shared" si="11"/>
        <v>7700000</v>
      </c>
      <c r="R19" s="457">
        <f t="shared" si="11"/>
        <v>7700000</v>
      </c>
      <c r="S19" s="457">
        <f t="shared" si="11"/>
        <v>7700000</v>
      </c>
      <c r="T19" s="457">
        <f t="shared" si="11"/>
        <v>7700000</v>
      </c>
      <c r="U19" s="457">
        <f t="shared" si="11"/>
        <v>7700000</v>
      </c>
      <c r="V19" s="154">
        <f>SUM(J19:U19)</f>
        <v>61600000</v>
      </c>
    </row>
    <row r="20" spans="1:22" ht="15">
      <c r="A20" s="155" t="s">
        <v>858</v>
      </c>
      <c r="B20" s="448">
        <v>1</v>
      </c>
      <c r="C20" s="479">
        <v>30000000</v>
      </c>
      <c r="D20" s="458">
        <f>+C20*B20</f>
        <v>30000000</v>
      </c>
      <c r="E20" s="480" t="s">
        <v>853</v>
      </c>
      <c r="F20" s="475" t="s">
        <v>844</v>
      </c>
      <c r="G20" s="460">
        <v>1</v>
      </c>
      <c r="H20" s="455">
        <f>ROUND(+D20/G20,0)</f>
        <v>30000000</v>
      </c>
      <c r="I20" s="455">
        <f>ROUND(+H20/12,0)</f>
        <v>2500000</v>
      </c>
      <c r="J20" s="457"/>
      <c r="K20" s="456"/>
      <c r="L20" s="456"/>
      <c r="M20" s="457"/>
      <c r="N20" s="457">
        <f t="shared" ref="N20:U20" si="13">+$I20</f>
        <v>2500000</v>
      </c>
      <c r="O20" s="457">
        <f t="shared" si="13"/>
        <v>2500000</v>
      </c>
      <c r="P20" s="457">
        <f t="shared" si="13"/>
        <v>2500000</v>
      </c>
      <c r="Q20" s="457">
        <f t="shared" si="13"/>
        <v>2500000</v>
      </c>
      <c r="R20" s="457">
        <f t="shared" si="13"/>
        <v>2500000</v>
      </c>
      <c r="S20" s="457">
        <f t="shared" si="13"/>
        <v>2500000</v>
      </c>
      <c r="T20" s="457">
        <f t="shared" si="13"/>
        <v>2500000</v>
      </c>
      <c r="U20" s="457">
        <f t="shared" si="13"/>
        <v>2500000</v>
      </c>
      <c r="V20" s="154">
        <f>SUM(J20:U20)</f>
        <v>20000000</v>
      </c>
    </row>
    <row r="21" spans="1:22" s="164" customFormat="1" ht="45">
      <c r="A21" s="156" t="s">
        <v>859</v>
      </c>
      <c r="B21" s="481"/>
      <c r="C21" s="482"/>
      <c r="D21" s="462">
        <f>SUM(D22:D24)</f>
        <v>40950000</v>
      </c>
      <c r="E21" s="483" t="str">
        <f>+A21</f>
        <v>Mua 01 bộ Zoom meetup + pc mini + mic đa hướng (Phục vụ họp trực tuyến); gia hạn zoom/tên miền</v>
      </c>
      <c r="F21" s="484"/>
      <c r="G21" s="485"/>
      <c r="H21" s="486"/>
      <c r="I21" s="486"/>
      <c r="J21" s="477">
        <f>SUM(J22:J24)</f>
        <v>2531173</v>
      </c>
      <c r="K21" s="477">
        <f t="shared" ref="K21:U21" si="14">SUM(K22:K24)</f>
        <v>2531173</v>
      </c>
      <c r="L21" s="477">
        <f t="shared" si="14"/>
        <v>2531173</v>
      </c>
      <c r="M21" s="477">
        <f t="shared" si="14"/>
        <v>2531173</v>
      </c>
      <c r="N21" s="477">
        <f t="shared" si="14"/>
        <v>2568673</v>
      </c>
      <c r="O21" s="477">
        <f t="shared" si="14"/>
        <v>2568673</v>
      </c>
      <c r="P21" s="477">
        <f t="shared" si="14"/>
        <v>2568673</v>
      </c>
      <c r="Q21" s="477">
        <f t="shared" si="14"/>
        <v>2568673</v>
      </c>
      <c r="R21" s="477">
        <f t="shared" si="14"/>
        <v>2568673</v>
      </c>
      <c r="S21" s="477">
        <f t="shared" si="14"/>
        <v>2568667</v>
      </c>
      <c r="T21" s="477">
        <f t="shared" si="14"/>
        <v>2363347</v>
      </c>
      <c r="U21" s="477">
        <f t="shared" si="14"/>
        <v>2363347</v>
      </c>
      <c r="V21" s="163"/>
    </row>
    <row r="22" spans="1:22" ht="30">
      <c r="A22" s="159" t="s">
        <v>860</v>
      </c>
      <c r="B22" s="448">
        <v>1</v>
      </c>
      <c r="C22" s="458">
        <f>17000000+13000000</f>
        <v>30000000</v>
      </c>
      <c r="D22" s="458">
        <f>+C22*B22</f>
        <v>30000000</v>
      </c>
      <c r="E22" s="480" t="s">
        <v>861</v>
      </c>
      <c r="F22" s="475" t="s">
        <v>832</v>
      </c>
      <c r="G22" s="460">
        <v>2</v>
      </c>
      <c r="H22" s="455">
        <f>ROUND(+D22/G22,0)</f>
        <v>15000000</v>
      </c>
      <c r="I22" s="455">
        <f>ROUND(+H22/12,0)</f>
        <v>1250000</v>
      </c>
      <c r="J22" s="457">
        <f>+I22</f>
        <v>1250000</v>
      </c>
      <c r="K22" s="457">
        <f>+J22</f>
        <v>1250000</v>
      </c>
      <c r="L22" s="457">
        <f t="shared" ref="L22:U23" si="15">+K22</f>
        <v>1250000</v>
      </c>
      <c r="M22" s="457">
        <f t="shared" si="15"/>
        <v>1250000</v>
      </c>
      <c r="N22" s="457">
        <f t="shared" si="15"/>
        <v>1250000</v>
      </c>
      <c r="O22" s="457">
        <f t="shared" si="15"/>
        <v>1250000</v>
      </c>
      <c r="P22" s="457">
        <f t="shared" si="15"/>
        <v>1250000</v>
      </c>
      <c r="Q22" s="457">
        <f t="shared" si="15"/>
        <v>1250000</v>
      </c>
      <c r="R22" s="457">
        <f t="shared" si="15"/>
        <v>1250000</v>
      </c>
      <c r="S22" s="457">
        <f t="shared" si="15"/>
        <v>1250000</v>
      </c>
      <c r="T22" s="457">
        <f t="shared" si="15"/>
        <v>1250000</v>
      </c>
      <c r="U22" s="457">
        <f t="shared" si="15"/>
        <v>1250000</v>
      </c>
      <c r="V22" s="154">
        <f t="shared" ref="V22:V39" si="16">SUM(J22:U22)</f>
        <v>15000000</v>
      </c>
    </row>
    <row r="23" spans="1:22" ht="15">
      <c r="A23" s="159" t="s">
        <v>862</v>
      </c>
      <c r="B23" s="448">
        <v>3</v>
      </c>
      <c r="C23" s="458">
        <v>3650000</v>
      </c>
      <c r="D23" s="458">
        <f>+C23*B23</f>
        <v>10950000</v>
      </c>
      <c r="E23" s="480" t="s">
        <v>853</v>
      </c>
      <c r="F23" s="475" t="s">
        <v>844</v>
      </c>
      <c r="G23" s="460">
        <v>1</v>
      </c>
      <c r="H23" s="455">
        <f>ROUND(+D23/G23,0)</f>
        <v>10950000</v>
      </c>
      <c r="I23" s="455">
        <f>ROUND(+H23/12,0)</f>
        <v>912500</v>
      </c>
      <c r="J23" s="487">
        <f>+'[2]pbcp 2026. est 10 BMTL + All'!O317</f>
        <v>875000</v>
      </c>
      <c r="K23" s="487">
        <f>+'[2]pbcp 2026. est 10 BMTL + All'!P317</f>
        <v>875000</v>
      </c>
      <c r="L23" s="487">
        <f>+'[2]pbcp 2026. est 10 BMTL + All'!Q317</f>
        <v>875000</v>
      </c>
      <c r="M23" s="487">
        <f>+'[2]pbcp 2026. est 10 BMTL + All'!R317</f>
        <v>875000</v>
      </c>
      <c r="N23" s="488">
        <f>+I23</f>
        <v>912500</v>
      </c>
      <c r="O23" s="457">
        <f>+N23</f>
        <v>912500</v>
      </c>
      <c r="P23" s="457">
        <f t="shared" si="15"/>
        <v>912500</v>
      </c>
      <c r="Q23" s="457">
        <f t="shared" si="15"/>
        <v>912500</v>
      </c>
      <c r="R23" s="457">
        <f t="shared" si="15"/>
        <v>912500</v>
      </c>
      <c r="S23" s="457">
        <f t="shared" si="15"/>
        <v>912500</v>
      </c>
      <c r="T23" s="457">
        <f t="shared" si="15"/>
        <v>912500</v>
      </c>
      <c r="U23" s="457">
        <f t="shared" si="15"/>
        <v>912500</v>
      </c>
      <c r="V23" s="154">
        <f t="shared" si="16"/>
        <v>10800000</v>
      </c>
    </row>
    <row r="24" spans="1:22" ht="15">
      <c r="A24" s="159" t="s">
        <v>863</v>
      </c>
      <c r="B24" s="448">
        <v>1</v>
      </c>
      <c r="C24" s="458">
        <f>0*6000000</f>
        <v>0</v>
      </c>
      <c r="D24" s="458">
        <f>+C24*B24</f>
        <v>0</v>
      </c>
      <c r="E24" s="480" t="s">
        <v>864</v>
      </c>
      <c r="F24" s="475" t="s">
        <v>832</v>
      </c>
      <c r="G24" s="460">
        <v>1</v>
      </c>
      <c r="H24" s="455">
        <f>ROUND(+D24/G24,0)</f>
        <v>0</v>
      </c>
      <c r="I24" s="455">
        <f>ROUND(+H24/12,0)</f>
        <v>0</v>
      </c>
      <c r="J24" s="487">
        <f>+'[2]pbcp 2026. est 10 BMTL + All'!O315+'[2]pbcp 2026. est 10 BMTL + All'!O316</f>
        <v>406173</v>
      </c>
      <c r="K24" s="487">
        <f>+'[2]pbcp 2026. est 10 BMTL + All'!P315+'[2]pbcp 2026. est 10 BMTL + All'!P316</f>
        <v>406173</v>
      </c>
      <c r="L24" s="487">
        <f>+'[2]pbcp 2026. est 10 BMTL + All'!Q315+'[2]pbcp 2026. est 10 BMTL + All'!Q316</f>
        <v>406173</v>
      </c>
      <c r="M24" s="487">
        <f>+'[2]pbcp 2026. est 10 BMTL + All'!R315+'[2]pbcp 2026. est 10 BMTL + All'!R316</f>
        <v>406173</v>
      </c>
      <c r="N24" s="487">
        <f>+'[2]pbcp 2026. est 10 BMTL + All'!S315+'[2]pbcp 2026. est 10 BMTL + All'!S316</f>
        <v>406173</v>
      </c>
      <c r="O24" s="487">
        <f>+'[2]pbcp 2026. est 10 BMTL + All'!T315+'[2]pbcp 2026. est 10 BMTL + All'!T316</f>
        <v>406173</v>
      </c>
      <c r="P24" s="487">
        <f>+'[2]pbcp 2026. est 10 BMTL + All'!U315+'[2]pbcp 2026. est 10 BMTL + All'!U316</f>
        <v>406173</v>
      </c>
      <c r="Q24" s="487">
        <f>+'[2]pbcp 2026. est 10 BMTL + All'!V315+'[2]pbcp 2026. est 10 BMTL + All'!V316</f>
        <v>406173</v>
      </c>
      <c r="R24" s="487">
        <f>+'[2]pbcp 2026. est 10 BMTL + All'!W315+'[2]pbcp 2026. est 10 BMTL + All'!W316</f>
        <v>406173</v>
      </c>
      <c r="S24" s="487">
        <f>+'[2]pbcp 2026. est 10 BMTL + All'!X315+'[2]pbcp 2026. est 10 BMTL + All'!X316</f>
        <v>406167</v>
      </c>
      <c r="T24" s="487">
        <f>+'[2]pbcp 2026. est 10 BMTL + All'!Y315+'[2]pbcp 2026. est 10 BMTL + All'!Y316</f>
        <v>200847</v>
      </c>
      <c r="U24" s="487">
        <f>+'[2]pbcp 2026. est 10 BMTL + All'!Z315+'[2]pbcp 2026. est 10 BMTL + All'!Z316</f>
        <v>200847</v>
      </c>
      <c r="V24" s="154">
        <f t="shared" si="16"/>
        <v>4463418</v>
      </c>
    </row>
    <row r="25" spans="1:22">
      <c r="A25" s="165" t="s">
        <v>865</v>
      </c>
      <c r="B25" s="448"/>
      <c r="C25" s="458"/>
      <c r="D25" s="458"/>
      <c r="E25" s="459"/>
      <c r="F25" s="475"/>
      <c r="G25" s="460"/>
      <c r="H25" s="455"/>
      <c r="I25" s="455"/>
      <c r="J25" s="457"/>
      <c r="K25" s="456"/>
      <c r="L25" s="456"/>
      <c r="M25" s="456"/>
      <c r="N25" s="456"/>
      <c r="O25" s="456"/>
      <c r="P25" s="456"/>
      <c r="Q25" s="456"/>
      <c r="R25" s="456"/>
      <c r="S25" s="456"/>
      <c r="T25" s="456"/>
      <c r="U25" s="456"/>
      <c r="V25" s="154">
        <f t="shared" si="16"/>
        <v>0</v>
      </c>
    </row>
    <row r="26" spans="1:22" ht="56">
      <c r="A26" s="155" t="s">
        <v>866</v>
      </c>
      <c r="B26" s="448">
        <v>1</v>
      </c>
      <c r="C26" s="458">
        <v>95000000</v>
      </c>
      <c r="D26" s="458">
        <f>+C26*B26</f>
        <v>95000000</v>
      </c>
      <c r="E26" s="474" t="s">
        <v>867</v>
      </c>
      <c r="F26" s="475" t="s">
        <v>834</v>
      </c>
      <c r="G26" s="460">
        <v>3</v>
      </c>
      <c r="H26" s="455">
        <f>ROUND(+D26/G26,0)</f>
        <v>31666667</v>
      </c>
      <c r="I26" s="455">
        <f>ROUND(+H26/12,0)</f>
        <v>2638889</v>
      </c>
      <c r="J26" s="457"/>
      <c r="K26" s="457">
        <f t="shared" ref="K26:U26" si="17">+$I26</f>
        <v>2638889</v>
      </c>
      <c r="L26" s="457">
        <f t="shared" si="17"/>
        <v>2638889</v>
      </c>
      <c r="M26" s="457">
        <f t="shared" si="17"/>
        <v>2638889</v>
      </c>
      <c r="N26" s="457">
        <f t="shared" si="17"/>
        <v>2638889</v>
      </c>
      <c r="O26" s="457">
        <f t="shared" si="17"/>
        <v>2638889</v>
      </c>
      <c r="P26" s="457">
        <f t="shared" si="17"/>
        <v>2638889</v>
      </c>
      <c r="Q26" s="457">
        <f t="shared" si="17"/>
        <v>2638889</v>
      </c>
      <c r="R26" s="457">
        <f t="shared" si="17"/>
        <v>2638889</v>
      </c>
      <c r="S26" s="457">
        <f t="shared" si="17"/>
        <v>2638889</v>
      </c>
      <c r="T26" s="457">
        <f t="shared" si="17"/>
        <v>2638889</v>
      </c>
      <c r="U26" s="457">
        <f t="shared" si="17"/>
        <v>2638889</v>
      </c>
      <c r="V26" s="154">
        <f t="shared" si="16"/>
        <v>29027779</v>
      </c>
    </row>
    <row r="27" spans="1:22" ht="15">
      <c r="A27" s="155" t="s">
        <v>868</v>
      </c>
      <c r="B27" s="448">
        <v>1</v>
      </c>
      <c r="C27" s="458">
        <v>34000000</v>
      </c>
      <c r="D27" s="458">
        <f>+C27*B27</f>
        <v>34000000</v>
      </c>
      <c r="E27" s="459" t="s">
        <v>869</v>
      </c>
      <c r="F27" s="475" t="s">
        <v>832</v>
      </c>
      <c r="G27" s="460">
        <v>1</v>
      </c>
      <c r="H27" s="455">
        <f>ROUND(+D27/G27,0)</f>
        <v>34000000</v>
      </c>
      <c r="I27" s="455">
        <f>ROUND(+H27/12,0)</f>
        <v>2833333</v>
      </c>
      <c r="J27" s="457">
        <f t="shared" ref="J27:U27" si="18">+I27</f>
        <v>2833333</v>
      </c>
      <c r="K27" s="457">
        <f t="shared" si="18"/>
        <v>2833333</v>
      </c>
      <c r="L27" s="457">
        <f t="shared" si="18"/>
        <v>2833333</v>
      </c>
      <c r="M27" s="457">
        <f t="shared" si="18"/>
        <v>2833333</v>
      </c>
      <c r="N27" s="457">
        <f t="shared" si="18"/>
        <v>2833333</v>
      </c>
      <c r="O27" s="457">
        <f t="shared" si="18"/>
        <v>2833333</v>
      </c>
      <c r="P27" s="457">
        <f t="shared" si="18"/>
        <v>2833333</v>
      </c>
      <c r="Q27" s="457">
        <f t="shared" si="18"/>
        <v>2833333</v>
      </c>
      <c r="R27" s="457">
        <f t="shared" si="18"/>
        <v>2833333</v>
      </c>
      <c r="S27" s="457">
        <f t="shared" si="18"/>
        <v>2833333</v>
      </c>
      <c r="T27" s="457">
        <f t="shared" si="18"/>
        <v>2833333</v>
      </c>
      <c r="U27" s="457">
        <f t="shared" si="18"/>
        <v>2833333</v>
      </c>
      <c r="V27" s="154">
        <f t="shared" si="16"/>
        <v>33999996</v>
      </c>
    </row>
    <row r="28" spans="1:22" ht="30">
      <c r="A28" s="155" t="s">
        <v>870</v>
      </c>
      <c r="B28" s="448">
        <v>4</v>
      </c>
      <c r="C28" s="458">
        <v>10000000</v>
      </c>
      <c r="D28" s="458">
        <f>+C28*B28</f>
        <v>40000000</v>
      </c>
      <c r="E28" s="474" t="s">
        <v>871</v>
      </c>
      <c r="F28" s="475" t="s">
        <v>854</v>
      </c>
      <c r="G28" s="460">
        <v>3</v>
      </c>
      <c r="H28" s="455">
        <f>ROUND(+D28/G28,0)</f>
        <v>13333333</v>
      </c>
      <c r="I28" s="455">
        <f>ROUND(+H28/12,0)</f>
        <v>1111111</v>
      </c>
      <c r="J28" s="457"/>
      <c r="K28" s="456"/>
      <c r="L28" s="456"/>
      <c r="M28" s="456"/>
      <c r="N28" s="456"/>
      <c r="O28" s="457">
        <f t="shared" ref="O28:U28" si="19">+$I28</f>
        <v>1111111</v>
      </c>
      <c r="P28" s="457">
        <f t="shared" si="19"/>
        <v>1111111</v>
      </c>
      <c r="Q28" s="457">
        <f t="shared" si="19"/>
        <v>1111111</v>
      </c>
      <c r="R28" s="457">
        <f t="shared" si="19"/>
        <v>1111111</v>
      </c>
      <c r="S28" s="457">
        <f t="shared" si="19"/>
        <v>1111111</v>
      </c>
      <c r="T28" s="457">
        <f t="shared" si="19"/>
        <v>1111111</v>
      </c>
      <c r="U28" s="457">
        <f t="shared" si="19"/>
        <v>1111111</v>
      </c>
      <c r="V28" s="154">
        <f t="shared" si="16"/>
        <v>7777777</v>
      </c>
    </row>
    <row r="29" spans="1:22" ht="45">
      <c r="A29" s="155" t="s">
        <v>872</v>
      </c>
      <c r="B29" s="448">
        <v>1</v>
      </c>
      <c r="C29" s="458">
        <v>45000000</v>
      </c>
      <c r="D29" s="458">
        <f>+C29*B29</f>
        <v>45000000</v>
      </c>
      <c r="E29" s="459" t="s">
        <v>826</v>
      </c>
      <c r="F29" s="475" t="s">
        <v>836</v>
      </c>
      <c r="G29" s="460">
        <v>3</v>
      </c>
      <c r="H29" s="455">
        <f>ROUND(+D29/G29,0)</f>
        <v>15000000</v>
      </c>
      <c r="I29" s="455">
        <f>ROUND(+H29/12,0)</f>
        <v>1250000</v>
      </c>
      <c r="J29" s="457"/>
      <c r="K29" s="456"/>
      <c r="L29" s="456"/>
      <c r="M29" s="456"/>
      <c r="N29" s="456"/>
      <c r="O29" s="456"/>
      <c r="P29" s="456"/>
      <c r="Q29" s="456"/>
      <c r="R29" s="456"/>
      <c r="S29" s="456"/>
      <c r="T29" s="456"/>
      <c r="U29" s="457">
        <f>+I29</f>
        <v>1250000</v>
      </c>
      <c r="V29" s="154">
        <f t="shared" si="16"/>
        <v>1250000</v>
      </c>
    </row>
    <row r="30" spans="1:22" ht="45">
      <c r="A30" s="155" t="s">
        <v>873</v>
      </c>
      <c r="B30" s="448" t="s">
        <v>874</v>
      </c>
      <c r="C30" s="458" t="s">
        <v>875</v>
      </c>
      <c r="D30" s="458">
        <f>4*5000000+21300000*1</f>
        <v>41300000</v>
      </c>
      <c r="E30" s="459" t="s">
        <v>876</v>
      </c>
      <c r="F30" s="475" t="s">
        <v>877</v>
      </c>
      <c r="G30" s="460">
        <v>2</v>
      </c>
      <c r="H30" s="455"/>
      <c r="I30" s="455"/>
      <c r="J30" s="457">
        <f>21300000/25</f>
        <v>852000</v>
      </c>
      <c r="K30" s="457">
        <f>+J30</f>
        <v>852000</v>
      </c>
      <c r="L30" s="457">
        <f>+K30</f>
        <v>852000</v>
      </c>
      <c r="M30" s="457">
        <f>+L30</f>
        <v>852000</v>
      </c>
      <c r="N30" s="457">
        <f>+M30</f>
        <v>852000</v>
      </c>
      <c r="O30" s="457">
        <f>+N30</f>
        <v>852000</v>
      </c>
      <c r="P30" s="457">
        <f>+O30+20000000/24</f>
        <v>1685333.3333333335</v>
      </c>
      <c r="Q30" s="457">
        <f>+P30</f>
        <v>1685333.3333333335</v>
      </c>
      <c r="R30" s="457">
        <f>+Q30</f>
        <v>1685333.3333333335</v>
      </c>
      <c r="S30" s="457">
        <f>+R30</f>
        <v>1685333.3333333335</v>
      </c>
      <c r="T30" s="457">
        <f>+S30</f>
        <v>1685333.3333333335</v>
      </c>
      <c r="U30" s="457">
        <f>+T30</f>
        <v>1685333.3333333335</v>
      </c>
      <c r="V30" s="154">
        <f t="shared" si="16"/>
        <v>15224000.000000004</v>
      </c>
    </row>
    <row r="31" spans="1:22" ht="30">
      <c r="A31" s="155" t="s">
        <v>878</v>
      </c>
      <c r="B31" s="448">
        <v>2</v>
      </c>
      <c r="C31" s="458">
        <v>15000000</v>
      </c>
      <c r="D31" s="458">
        <f>+C31*B31</f>
        <v>30000000</v>
      </c>
      <c r="E31" s="474" t="s">
        <v>879</v>
      </c>
      <c r="F31" s="475" t="s">
        <v>880</v>
      </c>
      <c r="G31" s="460">
        <v>3</v>
      </c>
      <c r="H31" s="455">
        <f>ROUND(+D31/G31,0)</f>
        <v>10000000</v>
      </c>
      <c r="I31" s="455">
        <f>ROUND(+H31/12,0)</f>
        <v>833333</v>
      </c>
      <c r="J31" s="457"/>
      <c r="K31" s="456"/>
      <c r="L31" s="456"/>
      <c r="M31" s="457">
        <f t="shared" ref="M31:U31" si="20">+$I31</f>
        <v>833333</v>
      </c>
      <c r="N31" s="457">
        <f t="shared" si="20"/>
        <v>833333</v>
      </c>
      <c r="O31" s="457">
        <f t="shared" si="20"/>
        <v>833333</v>
      </c>
      <c r="P31" s="457">
        <f t="shared" si="20"/>
        <v>833333</v>
      </c>
      <c r="Q31" s="457">
        <f t="shared" si="20"/>
        <v>833333</v>
      </c>
      <c r="R31" s="457">
        <f t="shared" si="20"/>
        <v>833333</v>
      </c>
      <c r="S31" s="457">
        <f t="shared" si="20"/>
        <v>833333</v>
      </c>
      <c r="T31" s="457">
        <f t="shared" si="20"/>
        <v>833333</v>
      </c>
      <c r="U31" s="457">
        <f t="shared" si="20"/>
        <v>833333</v>
      </c>
      <c r="V31" s="154">
        <f t="shared" si="16"/>
        <v>7499997</v>
      </c>
    </row>
    <row r="32" spans="1:22" ht="15">
      <c r="A32" s="155" t="s">
        <v>881</v>
      </c>
      <c r="B32" s="489">
        <v>1</v>
      </c>
      <c r="C32" s="479">
        <v>50000000</v>
      </c>
      <c r="D32" s="458">
        <f>+C32*B32</f>
        <v>50000000</v>
      </c>
      <c r="E32" s="459" t="s">
        <v>826</v>
      </c>
      <c r="F32" s="475" t="s">
        <v>836</v>
      </c>
      <c r="G32" s="460">
        <v>5</v>
      </c>
      <c r="H32" s="455">
        <f>ROUND(+D32/G32,0)</f>
        <v>10000000</v>
      </c>
      <c r="I32" s="455">
        <f>ROUND(+H32/12,0)</f>
        <v>833333</v>
      </c>
      <c r="J32" s="457"/>
      <c r="K32" s="456"/>
      <c r="L32" s="456"/>
      <c r="M32" s="456"/>
      <c r="N32" s="456"/>
      <c r="O32" s="456"/>
      <c r="P32" s="456"/>
      <c r="Q32" s="456"/>
      <c r="R32" s="456"/>
      <c r="S32" s="456"/>
      <c r="T32" s="456"/>
      <c r="U32" s="457">
        <f>+I32</f>
        <v>833333</v>
      </c>
      <c r="V32" s="154">
        <f t="shared" si="16"/>
        <v>833333</v>
      </c>
    </row>
    <row r="33" spans="1:22" ht="15">
      <c r="A33" s="155" t="s">
        <v>882</v>
      </c>
      <c r="B33" s="489">
        <v>4</v>
      </c>
      <c r="C33" s="490">
        <v>9000000</v>
      </c>
      <c r="D33" s="458">
        <f>+C33*B33</f>
        <v>36000000</v>
      </c>
      <c r="E33" s="459" t="s">
        <v>826</v>
      </c>
      <c r="F33" s="475" t="s">
        <v>836</v>
      </c>
      <c r="G33" s="460">
        <v>3</v>
      </c>
      <c r="H33" s="455">
        <f>ROUND(+D33/G33,0)</f>
        <v>12000000</v>
      </c>
      <c r="I33" s="455">
        <f>ROUND(+H33/12,0)</f>
        <v>1000000</v>
      </c>
      <c r="J33" s="457"/>
      <c r="K33" s="456"/>
      <c r="L33" s="456"/>
      <c r="M33" s="456"/>
      <c r="N33" s="456"/>
      <c r="O33" s="456"/>
      <c r="P33" s="456"/>
      <c r="Q33" s="456"/>
      <c r="R33" s="456"/>
      <c r="S33" s="456"/>
      <c r="T33" s="456"/>
      <c r="U33" s="457">
        <f>+I33</f>
        <v>1000000</v>
      </c>
      <c r="V33" s="154">
        <f t="shared" si="16"/>
        <v>1000000</v>
      </c>
    </row>
    <row r="34" spans="1:22" ht="15">
      <c r="A34" s="166" t="s">
        <v>883</v>
      </c>
      <c r="B34" s="448"/>
      <c r="C34" s="458"/>
      <c r="D34" s="458"/>
      <c r="E34" s="459"/>
      <c r="F34" s="475"/>
      <c r="G34" s="460"/>
      <c r="H34" s="455"/>
      <c r="I34" s="455"/>
      <c r="J34" s="457"/>
      <c r="K34" s="456"/>
      <c r="L34" s="456"/>
      <c r="M34" s="456"/>
      <c r="N34" s="456"/>
      <c r="O34" s="456"/>
      <c r="P34" s="456"/>
      <c r="Q34" s="456"/>
      <c r="R34" s="456"/>
      <c r="S34" s="456"/>
      <c r="T34" s="456"/>
      <c r="U34" s="456"/>
      <c r="V34" s="154">
        <f t="shared" si="16"/>
        <v>0</v>
      </c>
    </row>
    <row r="35" spans="1:22" ht="15">
      <c r="A35" s="167" t="s">
        <v>884</v>
      </c>
      <c r="B35" s="448">
        <v>1</v>
      </c>
      <c r="C35" s="491">
        <v>1900000000</v>
      </c>
      <c r="D35" s="492">
        <f>+C35*B35</f>
        <v>1900000000</v>
      </c>
      <c r="E35" s="459"/>
      <c r="F35" s="475" t="s">
        <v>880</v>
      </c>
      <c r="G35" s="460">
        <v>5</v>
      </c>
      <c r="H35" s="455">
        <f>ROUND(+D35/G35,0)</f>
        <v>380000000</v>
      </c>
      <c r="I35" s="455">
        <f t="shared" ref="I35:I42" si="21">ROUND(+H35/12,0)</f>
        <v>31666667</v>
      </c>
      <c r="J35" s="457"/>
      <c r="K35" s="457"/>
      <c r="L35" s="457"/>
      <c r="M35" s="457">
        <f>+I35</f>
        <v>31666667</v>
      </c>
      <c r="N35" s="457">
        <f t="shared" ref="N35:U35" si="22">+M35</f>
        <v>31666667</v>
      </c>
      <c r="O35" s="457">
        <f t="shared" si="22"/>
        <v>31666667</v>
      </c>
      <c r="P35" s="457">
        <f t="shared" si="22"/>
        <v>31666667</v>
      </c>
      <c r="Q35" s="457">
        <f t="shared" si="22"/>
        <v>31666667</v>
      </c>
      <c r="R35" s="457">
        <f t="shared" si="22"/>
        <v>31666667</v>
      </c>
      <c r="S35" s="457">
        <f t="shared" si="22"/>
        <v>31666667</v>
      </c>
      <c r="T35" s="457">
        <f t="shared" si="22"/>
        <v>31666667</v>
      </c>
      <c r="U35" s="457">
        <f t="shared" si="22"/>
        <v>31666667</v>
      </c>
      <c r="V35" s="154">
        <f t="shared" si="16"/>
        <v>285000003</v>
      </c>
    </row>
    <row r="36" spans="1:22" ht="30">
      <c r="A36" s="168" t="s">
        <v>885</v>
      </c>
      <c r="B36" s="448">
        <v>1</v>
      </c>
      <c r="C36" s="458">
        <v>150000000</v>
      </c>
      <c r="D36" s="458">
        <f>+C36*B36</f>
        <v>150000000</v>
      </c>
      <c r="E36" s="459"/>
      <c r="F36" s="475" t="s">
        <v>886</v>
      </c>
      <c r="G36" s="460">
        <v>1</v>
      </c>
      <c r="H36" s="455">
        <f>ROUND(+D36/G36,0)</f>
        <v>150000000</v>
      </c>
      <c r="I36" s="455">
        <f t="shared" si="21"/>
        <v>12500000</v>
      </c>
      <c r="J36" s="457"/>
      <c r="K36" s="457"/>
      <c r="L36" s="457">
        <f t="shared" ref="L36:U36" si="23">$I36</f>
        <v>12500000</v>
      </c>
      <c r="M36" s="457">
        <f t="shared" si="23"/>
        <v>12500000</v>
      </c>
      <c r="N36" s="457">
        <f t="shared" si="23"/>
        <v>12500000</v>
      </c>
      <c r="O36" s="457">
        <f t="shared" si="23"/>
        <v>12500000</v>
      </c>
      <c r="P36" s="457">
        <f t="shared" si="23"/>
        <v>12500000</v>
      </c>
      <c r="Q36" s="457">
        <f t="shared" si="23"/>
        <v>12500000</v>
      </c>
      <c r="R36" s="457">
        <f t="shared" si="23"/>
        <v>12500000</v>
      </c>
      <c r="S36" s="457">
        <f t="shared" si="23"/>
        <v>12500000</v>
      </c>
      <c r="T36" s="457">
        <f t="shared" si="23"/>
        <v>12500000</v>
      </c>
      <c r="U36" s="457">
        <f t="shared" si="23"/>
        <v>12500000</v>
      </c>
      <c r="V36" s="154">
        <f t="shared" si="16"/>
        <v>125000000</v>
      </c>
    </row>
    <row r="37" spans="1:22">
      <c r="A37" s="167"/>
      <c r="B37" s="448"/>
      <c r="C37" s="458"/>
      <c r="D37" s="458"/>
      <c r="E37" s="459"/>
      <c r="F37" s="475"/>
      <c r="G37" s="460"/>
      <c r="H37" s="455"/>
      <c r="I37" s="455">
        <f t="shared" si="21"/>
        <v>0</v>
      </c>
      <c r="J37" s="457">
        <f>+I37</f>
        <v>0</v>
      </c>
      <c r="K37" s="456"/>
      <c r="L37" s="456"/>
      <c r="M37" s="456"/>
      <c r="N37" s="456"/>
      <c r="O37" s="456"/>
      <c r="P37" s="456"/>
      <c r="Q37" s="456"/>
      <c r="R37" s="456"/>
      <c r="S37" s="456"/>
      <c r="T37" s="456"/>
      <c r="U37" s="456"/>
      <c r="V37" s="154">
        <f t="shared" si="16"/>
        <v>0</v>
      </c>
    </row>
    <row r="38" spans="1:22" s="171" customFormat="1" ht="19">
      <c r="A38" s="169" t="s">
        <v>887</v>
      </c>
      <c r="B38" s="493"/>
      <c r="C38" s="494" t="s">
        <v>888</v>
      </c>
      <c r="D38" s="495"/>
      <c r="E38" s="496"/>
      <c r="F38" s="497"/>
      <c r="G38" s="498"/>
      <c r="H38" s="488"/>
      <c r="I38" s="488">
        <f t="shared" si="21"/>
        <v>0</v>
      </c>
      <c r="J38" s="488">
        <f>+I38</f>
        <v>0</v>
      </c>
      <c r="K38" s="493"/>
      <c r="L38" s="493"/>
      <c r="M38" s="493"/>
      <c r="N38" s="493"/>
      <c r="O38" s="493"/>
      <c r="P38" s="493"/>
      <c r="Q38" s="493"/>
      <c r="R38" s="493"/>
      <c r="S38" s="493"/>
      <c r="T38" s="493"/>
      <c r="U38" s="493"/>
      <c r="V38" s="170">
        <f t="shared" si="16"/>
        <v>0</v>
      </c>
    </row>
    <row r="39" spans="1:22" ht="15">
      <c r="A39" s="168" t="s">
        <v>889</v>
      </c>
      <c r="B39" s="448">
        <v>20</v>
      </c>
      <c r="C39" s="458">
        <v>5000000</v>
      </c>
      <c r="D39" s="458">
        <f>+C39*B39</f>
        <v>100000000</v>
      </c>
      <c r="E39" s="459"/>
      <c r="F39" s="499" t="s">
        <v>880</v>
      </c>
      <c r="G39" s="460">
        <v>3</v>
      </c>
      <c r="H39" s="455">
        <f>ROUND(+D39/G39,0)</f>
        <v>33333333</v>
      </c>
      <c r="I39" s="455">
        <f t="shared" si="21"/>
        <v>2777778</v>
      </c>
      <c r="J39" s="457"/>
      <c r="K39" s="456"/>
      <c r="L39" s="456"/>
      <c r="M39" s="457">
        <f>+I39</f>
        <v>2777778</v>
      </c>
      <c r="N39" s="457">
        <f t="shared" ref="N39:U39" si="24">+M39</f>
        <v>2777778</v>
      </c>
      <c r="O39" s="457">
        <f t="shared" si="24"/>
        <v>2777778</v>
      </c>
      <c r="P39" s="457">
        <f t="shared" si="24"/>
        <v>2777778</v>
      </c>
      <c r="Q39" s="457">
        <f t="shared" si="24"/>
        <v>2777778</v>
      </c>
      <c r="R39" s="457">
        <f t="shared" si="24"/>
        <v>2777778</v>
      </c>
      <c r="S39" s="457">
        <f t="shared" si="24"/>
        <v>2777778</v>
      </c>
      <c r="T39" s="457">
        <f t="shared" si="24"/>
        <v>2777778</v>
      </c>
      <c r="U39" s="457">
        <f t="shared" si="24"/>
        <v>2777778</v>
      </c>
      <c r="V39" s="154">
        <f t="shared" si="16"/>
        <v>25000002</v>
      </c>
    </row>
    <row r="40" spans="1:22" ht="15">
      <c r="A40" s="172" t="s">
        <v>890</v>
      </c>
      <c r="B40" s="475">
        <v>1</v>
      </c>
      <c r="C40" s="455">
        <v>10500000</v>
      </c>
      <c r="D40" s="458">
        <f>+C40*B40</f>
        <v>10500000</v>
      </c>
      <c r="E40" s="459"/>
      <c r="F40" s="475" t="s">
        <v>834</v>
      </c>
      <c r="G40" s="460">
        <v>1</v>
      </c>
      <c r="H40" s="455">
        <v>10500000</v>
      </c>
      <c r="I40" s="455">
        <f t="shared" si="21"/>
        <v>875000</v>
      </c>
      <c r="J40" s="457"/>
      <c r="K40" s="457">
        <f t="shared" ref="K40:U42" si="25">+$I40</f>
        <v>875000</v>
      </c>
      <c r="L40" s="457">
        <f t="shared" si="25"/>
        <v>875000</v>
      </c>
      <c r="M40" s="457">
        <f t="shared" si="25"/>
        <v>875000</v>
      </c>
      <c r="N40" s="457">
        <f t="shared" si="25"/>
        <v>875000</v>
      </c>
      <c r="O40" s="457">
        <f t="shared" si="25"/>
        <v>875000</v>
      </c>
      <c r="P40" s="457">
        <f t="shared" si="25"/>
        <v>875000</v>
      </c>
      <c r="Q40" s="457">
        <f t="shared" si="25"/>
        <v>875000</v>
      </c>
      <c r="R40" s="457">
        <f t="shared" si="25"/>
        <v>875000</v>
      </c>
      <c r="S40" s="457">
        <f t="shared" si="25"/>
        <v>875000</v>
      </c>
      <c r="T40" s="457">
        <f t="shared" si="25"/>
        <v>875000</v>
      </c>
      <c r="U40" s="457">
        <f t="shared" si="25"/>
        <v>875000</v>
      </c>
      <c r="V40" s="154"/>
    </row>
    <row r="41" spans="1:22" ht="30">
      <c r="A41" s="172" t="s">
        <v>891</v>
      </c>
      <c r="B41" s="448">
        <v>1</v>
      </c>
      <c r="C41" s="458">
        <v>27518400</v>
      </c>
      <c r="D41" s="458">
        <f>+C41*B41</f>
        <v>27518400</v>
      </c>
      <c r="E41" s="459"/>
      <c r="F41" s="475" t="s">
        <v>832</v>
      </c>
      <c r="G41" s="460">
        <v>1</v>
      </c>
      <c r="H41" s="455">
        <v>27518400</v>
      </c>
      <c r="I41" s="455">
        <f t="shared" si="21"/>
        <v>2293200</v>
      </c>
      <c r="J41" s="457">
        <f>+$I41</f>
        <v>2293200</v>
      </c>
      <c r="K41" s="457">
        <f t="shared" si="25"/>
        <v>2293200</v>
      </c>
      <c r="L41" s="457">
        <f t="shared" si="25"/>
        <v>2293200</v>
      </c>
      <c r="M41" s="457">
        <f t="shared" si="25"/>
        <v>2293200</v>
      </c>
      <c r="N41" s="457">
        <f t="shared" si="25"/>
        <v>2293200</v>
      </c>
      <c r="O41" s="457">
        <f t="shared" si="25"/>
        <v>2293200</v>
      </c>
      <c r="P41" s="457">
        <f t="shared" si="25"/>
        <v>2293200</v>
      </c>
      <c r="Q41" s="457">
        <f t="shared" si="25"/>
        <v>2293200</v>
      </c>
      <c r="R41" s="457">
        <f t="shared" si="25"/>
        <v>2293200</v>
      </c>
      <c r="S41" s="457">
        <f t="shared" si="25"/>
        <v>2293200</v>
      </c>
      <c r="T41" s="457">
        <f t="shared" si="25"/>
        <v>2293200</v>
      </c>
      <c r="U41" s="457">
        <f t="shared" si="25"/>
        <v>2293200</v>
      </c>
      <c r="V41" s="154">
        <f t="shared" ref="V41:V47" si="26">SUM(J41:U41)</f>
        <v>27518400</v>
      </c>
    </row>
    <row r="42" spans="1:22" ht="15">
      <c r="A42" s="173" t="s">
        <v>892</v>
      </c>
      <c r="B42" s="448">
        <v>1</v>
      </c>
      <c r="C42" s="458">
        <v>219912000</v>
      </c>
      <c r="D42" s="458">
        <f>+C42*B42</f>
        <v>219912000</v>
      </c>
      <c r="E42" s="459"/>
      <c r="F42" s="499" t="s">
        <v>880</v>
      </c>
      <c r="G42" s="460">
        <v>3</v>
      </c>
      <c r="H42" s="455">
        <f>ROUND(+D42/G42,0)</f>
        <v>73304000</v>
      </c>
      <c r="I42" s="455">
        <f t="shared" si="21"/>
        <v>6108667</v>
      </c>
      <c r="J42" s="457"/>
      <c r="K42" s="456"/>
      <c r="L42" s="456"/>
      <c r="M42" s="457">
        <f t="shared" si="25"/>
        <v>6108667</v>
      </c>
      <c r="N42" s="457">
        <f t="shared" si="25"/>
        <v>6108667</v>
      </c>
      <c r="O42" s="457">
        <f t="shared" si="25"/>
        <v>6108667</v>
      </c>
      <c r="P42" s="457">
        <f t="shared" si="25"/>
        <v>6108667</v>
      </c>
      <c r="Q42" s="457">
        <f t="shared" si="25"/>
        <v>6108667</v>
      </c>
      <c r="R42" s="457">
        <f t="shared" si="25"/>
        <v>6108667</v>
      </c>
      <c r="S42" s="457">
        <f t="shared" si="25"/>
        <v>6108667</v>
      </c>
      <c r="T42" s="457">
        <f t="shared" si="25"/>
        <v>6108667</v>
      </c>
      <c r="U42" s="457">
        <f t="shared" si="25"/>
        <v>6108667</v>
      </c>
      <c r="V42" s="154">
        <f t="shared" si="26"/>
        <v>54978003</v>
      </c>
    </row>
    <row r="43" spans="1:22" s="176" customFormat="1" ht="15" hidden="1">
      <c r="A43" s="174" t="s">
        <v>893</v>
      </c>
      <c r="B43" s="500"/>
      <c r="C43" s="501"/>
      <c r="D43" s="501"/>
      <c r="E43" s="502"/>
      <c r="F43" s="503" t="s">
        <v>894</v>
      </c>
      <c r="G43" s="504"/>
      <c r="H43" s="505"/>
      <c r="I43" s="505"/>
      <c r="J43" s="506"/>
      <c r="K43" s="507"/>
      <c r="L43" s="507"/>
      <c r="M43" s="507"/>
      <c r="N43" s="507"/>
      <c r="O43" s="507"/>
      <c r="P43" s="507"/>
      <c r="Q43" s="507"/>
      <c r="R43" s="507"/>
      <c r="S43" s="507"/>
      <c r="T43" s="507"/>
      <c r="U43" s="507"/>
      <c r="V43" s="175">
        <f t="shared" si="26"/>
        <v>0</v>
      </c>
    </row>
    <row r="44" spans="1:22" s="176" customFormat="1" ht="15" hidden="1">
      <c r="A44" s="177" t="s">
        <v>895</v>
      </c>
      <c r="B44" s="500">
        <v>3</v>
      </c>
      <c r="C44" s="501">
        <v>20000000</v>
      </c>
      <c r="D44" s="501">
        <f>+C44*B44</f>
        <v>60000000</v>
      </c>
      <c r="E44" s="502"/>
      <c r="F44" s="503" t="s">
        <v>841</v>
      </c>
      <c r="G44" s="504">
        <v>5</v>
      </c>
      <c r="H44" s="505">
        <f>ROUND(+D44/G44,0)</f>
        <v>12000000</v>
      </c>
      <c r="I44" s="505">
        <f>ROUND(+H44/12,0)</f>
        <v>1000000</v>
      </c>
      <c r="J44" s="506"/>
      <c r="K44" s="507"/>
      <c r="L44" s="506">
        <f t="shared" ref="L44:U44" si="27">+$I44</f>
        <v>1000000</v>
      </c>
      <c r="M44" s="506">
        <f t="shared" si="27"/>
        <v>1000000</v>
      </c>
      <c r="N44" s="506">
        <f t="shared" si="27"/>
        <v>1000000</v>
      </c>
      <c r="O44" s="506">
        <f t="shared" si="27"/>
        <v>1000000</v>
      </c>
      <c r="P44" s="506">
        <f t="shared" si="27"/>
        <v>1000000</v>
      </c>
      <c r="Q44" s="506">
        <f t="shared" si="27"/>
        <v>1000000</v>
      </c>
      <c r="R44" s="506">
        <f t="shared" si="27"/>
        <v>1000000</v>
      </c>
      <c r="S44" s="506">
        <f t="shared" si="27"/>
        <v>1000000</v>
      </c>
      <c r="T44" s="506">
        <f t="shared" si="27"/>
        <v>1000000</v>
      </c>
      <c r="U44" s="506">
        <f t="shared" si="27"/>
        <v>1000000</v>
      </c>
      <c r="V44" s="175">
        <f t="shared" si="26"/>
        <v>10000000</v>
      </c>
    </row>
    <row r="45" spans="1:22" s="176" customFormat="1" ht="15" hidden="1">
      <c r="A45" s="177" t="s">
        <v>896</v>
      </c>
      <c r="B45" s="500">
        <v>2</v>
      </c>
      <c r="C45" s="501">
        <v>5000000</v>
      </c>
      <c r="D45" s="501">
        <f>+C45*B45</f>
        <v>10000000</v>
      </c>
      <c r="E45" s="502"/>
      <c r="F45" s="503" t="s">
        <v>836</v>
      </c>
      <c r="G45" s="504">
        <v>3</v>
      </c>
      <c r="H45" s="505">
        <f>ROUND(+D45/G45,0)</f>
        <v>3333333</v>
      </c>
      <c r="I45" s="505">
        <f>ROUND(+H45/12,0)</f>
        <v>277778</v>
      </c>
      <c r="J45" s="506"/>
      <c r="K45" s="507"/>
      <c r="L45" s="507"/>
      <c r="M45" s="507"/>
      <c r="N45" s="507"/>
      <c r="O45" s="507"/>
      <c r="P45" s="507"/>
      <c r="Q45" s="507"/>
      <c r="R45" s="507"/>
      <c r="S45" s="507"/>
      <c r="T45" s="507"/>
      <c r="U45" s="506">
        <f>+I45</f>
        <v>277778</v>
      </c>
      <c r="V45" s="175">
        <f t="shared" si="26"/>
        <v>277778</v>
      </c>
    </row>
    <row r="46" spans="1:22" s="176" customFormat="1" ht="16" hidden="1" thickBot="1">
      <c r="A46" s="178" t="s">
        <v>897</v>
      </c>
      <c r="B46" s="179">
        <v>1</v>
      </c>
      <c r="C46" s="180">
        <v>228448000</v>
      </c>
      <c r="D46" s="180">
        <f>+C46*B46</f>
        <v>228448000</v>
      </c>
      <c r="E46" s="181"/>
      <c r="F46" s="182" t="s">
        <v>841</v>
      </c>
      <c r="G46" s="183">
        <v>3</v>
      </c>
      <c r="H46" s="184">
        <f>ROUND(+D46/G46,0)</f>
        <v>76149333</v>
      </c>
      <c r="I46" s="184">
        <f>ROUND(+H46/12,0)</f>
        <v>6345778</v>
      </c>
      <c r="J46" s="185"/>
      <c r="K46" s="185"/>
      <c r="L46" s="186">
        <f t="shared" ref="L46:U46" si="28">+$I46</f>
        <v>6345778</v>
      </c>
      <c r="M46" s="186">
        <f t="shared" si="28"/>
        <v>6345778</v>
      </c>
      <c r="N46" s="186">
        <f t="shared" si="28"/>
        <v>6345778</v>
      </c>
      <c r="O46" s="186">
        <f t="shared" si="28"/>
        <v>6345778</v>
      </c>
      <c r="P46" s="186">
        <f t="shared" si="28"/>
        <v>6345778</v>
      </c>
      <c r="Q46" s="186">
        <f t="shared" si="28"/>
        <v>6345778</v>
      </c>
      <c r="R46" s="186">
        <f t="shared" si="28"/>
        <v>6345778</v>
      </c>
      <c r="S46" s="186">
        <f t="shared" si="28"/>
        <v>6345778</v>
      </c>
      <c r="T46" s="186">
        <f t="shared" si="28"/>
        <v>6345778</v>
      </c>
      <c r="U46" s="186">
        <f t="shared" si="28"/>
        <v>6345778</v>
      </c>
      <c r="V46" s="187">
        <f t="shared" si="26"/>
        <v>63457780</v>
      </c>
    </row>
    <row r="47" spans="1:22" s="176" customFormat="1" ht="15" hidden="1">
      <c r="A47" s="177" t="s">
        <v>898</v>
      </c>
      <c r="B47" s="500">
        <v>1</v>
      </c>
      <c r="C47" s="501">
        <v>1000000</v>
      </c>
      <c r="D47" s="501">
        <f>+C47*B47</f>
        <v>1000000</v>
      </c>
      <c r="E47" s="298" t="s">
        <v>853</v>
      </c>
      <c r="F47" s="503" t="s">
        <v>832</v>
      </c>
      <c r="G47" s="504">
        <v>1</v>
      </c>
      <c r="H47" s="505">
        <f>ROUND(+D47/G47,0)</f>
        <v>1000000</v>
      </c>
      <c r="I47" s="505">
        <f>ROUND(+H47/12,0)</f>
        <v>83333</v>
      </c>
      <c r="J47" s="506">
        <f t="shared" ref="J47:U47" si="29">+I47</f>
        <v>83333</v>
      </c>
      <c r="K47" s="506">
        <f t="shared" si="29"/>
        <v>83333</v>
      </c>
      <c r="L47" s="506">
        <f t="shared" si="29"/>
        <v>83333</v>
      </c>
      <c r="M47" s="506">
        <f t="shared" si="29"/>
        <v>83333</v>
      </c>
      <c r="N47" s="506">
        <f t="shared" si="29"/>
        <v>83333</v>
      </c>
      <c r="O47" s="506">
        <f t="shared" si="29"/>
        <v>83333</v>
      </c>
      <c r="P47" s="506">
        <f t="shared" si="29"/>
        <v>83333</v>
      </c>
      <c r="Q47" s="506">
        <f t="shared" si="29"/>
        <v>83333</v>
      </c>
      <c r="R47" s="506">
        <f t="shared" si="29"/>
        <v>83333</v>
      </c>
      <c r="S47" s="506">
        <f t="shared" si="29"/>
        <v>83333</v>
      </c>
      <c r="T47" s="506">
        <f t="shared" si="29"/>
        <v>83333</v>
      </c>
      <c r="U47" s="506">
        <f t="shared" si="29"/>
        <v>83333</v>
      </c>
      <c r="V47" s="175">
        <f t="shared" si="26"/>
        <v>999996</v>
      </c>
    </row>
    <row r="48" spans="1:22">
      <c r="D48" s="188">
        <f>SUM(D4:D42)-D6-D16-D21</f>
        <v>3176734600</v>
      </c>
    </row>
    <row r="49" spans="4:4">
      <c r="D49" s="189">
        <v>3176.74</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4EE2-7DB3-3B47-A1A5-02FFFE5B2A59}">
  <dimension ref="A1"/>
  <sheetViews>
    <sheetView workbookViewId="0"/>
  </sheetViews>
  <sheetFormatPr baseColWidth="10" defaultColWidth="11.5"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0C7F-D97A-C546-BFCB-6BE497DBA529}">
  <dimension ref="A1"/>
  <sheetViews>
    <sheetView workbookViewId="0">
      <selection activeCell="S35" sqref="S35"/>
    </sheetView>
  </sheetViews>
  <sheetFormatPr baseColWidth="10" defaultColWidth="11.5"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3BD9-D65D-3349-9B94-0E225B1E708D}">
  <dimension ref="A1"/>
  <sheetViews>
    <sheetView workbookViewId="0"/>
  </sheetViews>
  <sheetFormatPr baseColWidth="10" defaultColWidth="11.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DD270B82A89A43A899A40B554BCBAE" ma:contentTypeVersion="11" ma:contentTypeDescription="Create a new document." ma:contentTypeScope="" ma:versionID="f849a6594c50fdef8e5da757052be0b5">
  <xsd:schema xmlns:xsd="http://www.w3.org/2001/XMLSchema" xmlns:xs="http://www.w3.org/2001/XMLSchema" xmlns:p="http://schemas.microsoft.com/office/2006/metadata/properties" xmlns:ns2="55e78532-5029-4021-8092-a8635af6ddda" xmlns:ns3="c9c1f1b5-263a-4db8-83a1-91d05c1c94ed" targetNamespace="http://schemas.microsoft.com/office/2006/metadata/properties" ma:root="true" ma:fieldsID="6579e800d5ef5ffb3c041b9b80a2c352" ns2:_="" ns3:_="">
    <xsd:import namespace="55e78532-5029-4021-8092-a8635af6ddda"/>
    <xsd:import namespace="c9c1f1b5-263a-4db8-83a1-91d05c1c94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78532-5029-4021-8092-a8635af6dd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7f81661-5cdb-4395-9923-3c10e8c523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c1f1b5-263a-4db8-83a1-91d05c1c94e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956c5a-a394-493c-a820-01177d714d4e}" ma:internalName="TaxCatchAll" ma:showField="CatchAllData" ma:web="c9c1f1b5-263a-4db8-83a1-91d05c1c94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e78532-5029-4021-8092-a8635af6ddda">
      <Terms xmlns="http://schemas.microsoft.com/office/infopath/2007/PartnerControls"/>
    </lcf76f155ced4ddcb4097134ff3c332f>
    <TaxCatchAll xmlns="c9c1f1b5-263a-4db8-83a1-91d05c1c94ed" xsi:nil="true"/>
  </documentManagement>
</p:properties>
</file>

<file path=customXml/itemProps1.xml><?xml version="1.0" encoding="utf-8"?>
<ds:datastoreItem xmlns:ds="http://schemas.openxmlformats.org/officeDocument/2006/customXml" ds:itemID="{99D8B5A3-AEFD-47D1-B6F5-1B48076A9D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e78532-5029-4021-8092-a8635af6ddda"/>
    <ds:schemaRef ds:uri="c9c1f1b5-263a-4db8-83a1-91d05c1c9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101B76-AB97-4148-BA0C-64B504136067}">
  <ds:schemaRefs>
    <ds:schemaRef ds:uri="http://schemas.microsoft.com/sharepoint/v3/contenttype/forms"/>
  </ds:schemaRefs>
</ds:datastoreItem>
</file>

<file path=customXml/itemProps3.xml><?xml version="1.0" encoding="utf-8"?>
<ds:datastoreItem xmlns:ds="http://schemas.openxmlformats.org/officeDocument/2006/customXml" ds:itemID="{49050285-A130-4F2D-903E-632AF55DE9C2}">
  <ds:schemaRefs>
    <ds:schemaRef ds:uri="http://schemas.microsoft.com/office/2006/metadata/properties"/>
    <ds:schemaRef ds:uri="http://schemas.microsoft.com/office/infopath/2007/PartnerControls"/>
    <ds:schemaRef ds:uri="55e78532-5029-4021-8092-a8635af6ddda"/>
    <ds:schemaRef ds:uri="c9c1f1b5-263a-4db8-83a1-91d05c1c94e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MS_IT.2026</vt:lpstr>
      <vt:lpstr>JSC_Detail</vt:lpstr>
      <vt:lpstr>ACC_FIN</vt:lpstr>
      <vt:lpstr>MKT.SALES</vt:lpstr>
      <vt:lpstr>HR.ADM.LEGAL</vt:lpstr>
      <vt:lpstr>DMD</vt:lpstr>
      <vt:lpstr>PDD</vt:lpstr>
      <vt:lpstr>PMU.QS.EPL</vt:lpstr>
      <vt:lpstr>PMG.BHMC.AURA</vt:lpstr>
      <vt:lpstr>BFT.2026</vt:lpstr>
      <vt:lpstr>GARDEN</vt:lpstr>
      <vt:lpstr>MINHQUANG</vt:lpstr>
      <vt:lpstr>BIG.ENRG</vt:lpstr>
      <vt:lpstr>OTHERS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Mai Lê Thị Ngọc</dc:creator>
  <cp:keywords/>
  <dc:description/>
  <cp:lastModifiedBy>Pham Thi Mai</cp:lastModifiedBy>
  <cp:revision/>
  <dcterms:created xsi:type="dcterms:W3CDTF">2025-12-17T13:51:07Z</dcterms:created>
  <dcterms:modified xsi:type="dcterms:W3CDTF">2026-08-10T04:59:48Z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0x010100ADDD270B82A89A43A899A40B554BCBAE</vt:lpwstr>
  </property>
  <property fmtid="{D5CDD505-2E9C-101B-9397-08002B2CF9AE}" pid="3" name="MediaServiceImageTags">
    <vt:lpwstr/>
  </property>
</Properties>
</file>