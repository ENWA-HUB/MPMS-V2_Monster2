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maipt/Downloads/"/>
    </mc:Choice>
  </mc:AlternateContent>
  <xr:revisionPtr revIDLastSave="0" documentId="13_ncr:1_{37825BC8-95F3-D843-B86C-E0AF06FE1C0C}" xr6:coauthVersionLast="47" xr6:coauthVersionMax="47" xr10:uidLastSave="{00000000-0000-0000-0000-000000000000}"/>
  <bookViews>
    <workbookView xWindow="0" yWindow="600" windowWidth="27040" windowHeight="15860" xr2:uid="{00000000-000D-0000-FFFF-FFFF00000000}"/>
  </bookViews>
  <sheets>
    <sheet name="MS_IT.2026" sheetId="1" r:id="rId1"/>
    <sheet name="JSC_Detail" sheetId="14" state="hidden" r:id="rId2"/>
    <sheet name="ACC_FIN" sheetId="5" state="hidden" r:id="rId3"/>
    <sheet name="MKT.SALES" sheetId="8" state="hidden" r:id="rId4"/>
    <sheet name="HR.ADM.LEGAL" sheetId="9" state="hidden" r:id="rId5"/>
    <sheet name="DMD" sheetId="2" state="hidden" r:id="rId6"/>
    <sheet name="PDD" sheetId="4" state="hidden" r:id="rId7"/>
    <sheet name="PMU.QS.EPL" sheetId="6" state="hidden" r:id="rId8"/>
    <sheet name="PMG.BHMC.AURA" sheetId="7" state="hidden" r:id="rId9"/>
    <sheet name="BFT.2026" sheetId="3" state="hidden" r:id="rId10"/>
    <sheet name="GARDEN" sheetId="10" state="hidden" r:id="rId11"/>
    <sheet name="MINHQUANG" sheetId="11" state="hidden" r:id="rId12"/>
    <sheet name="BIG.ENRG" sheetId="12" state="hidden" r:id="rId13"/>
    <sheet name="OTHERS" sheetId="13" state="hidden" r:id="rId14"/>
  </sheets>
  <externalReferences>
    <externalReference r:id="rId15"/>
    <externalReference r:id="rId1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mzMG46QByi6+mPLYJZOT2WIdJaK5dSreOEPrN62TJI0="/>
    </ext>
  </extLst>
</workbook>
</file>

<file path=xl/calcChain.xml><?xml version="1.0" encoding="utf-8"?>
<calcChain xmlns="http://schemas.openxmlformats.org/spreadsheetml/2006/main">
  <c r="B66" i="14" l="1"/>
  <c r="B60" i="14"/>
  <c r="B55" i="14"/>
  <c r="C53" i="14"/>
  <c r="B53" i="14"/>
  <c r="B48" i="14"/>
  <c r="C45" i="14"/>
  <c r="B45" i="14"/>
  <c r="C27" i="14"/>
  <c r="C5" i="14"/>
  <c r="H25" i="1" l="1"/>
  <c r="E35" i="6"/>
  <c r="H20" i="1"/>
  <c r="H26" i="1"/>
  <c r="H24" i="1"/>
  <c r="D47" i="10"/>
  <c r="H47" i="10" s="1"/>
  <c r="I47" i="10" s="1"/>
  <c r="J47" i="10" s="1"/>
  <c r="H46" i="10"/>
  <c r="I46" i="10" s="1"/>
  <c r="D46" i="10"/>
  <c r="D45" i="10"/>
  <c r="H45" i="10" s="1"/>
  <c r="I45" i="10" s="1"/>
  <c r="U45" i="10" s="1"/>
  <c r="V45" i="10" s="1"/>
  <c r="D44" i="10"/>
  <c r="H44" i="10" s="1"/>
  <c r="I44" i="10" s="1"/>
  <c r="V43" i="10"/>
  <c r="D42" i="10"/>
  <c r="H42" i="10" s="1"/>
  <c r="I42" i="10" s="1"/>
  <c r="P42" i="10" s="1"/>
  <c r="T41" i="10"/>
  <c r="S41" i="10"/>
  <c r="I41" i="10"/>
  <c r="D41" i="10"/>
  <c r="U40" i="10"/>
  <c r="Q40" i="10"/>
  <c r="P40" i="10"/>
  <c r="O40" i="10"/>
  <c r="N40" i="10"/>
  <c r="M40" i="10"/>
  <c r="L40" i="10"/>
  <c r="K40" i="10"/>
  <c r="I40" i="10"/>
  <c r="T40" i="10" s="1"/>
  <c r="D40" i="10"/>
  <c r="D39" i="10"/>
  <c r="H39" i="10" s="1"/>
  <c r="I39" i="10" s="1"/>
  <c r="M39" i="10" s="1"/>
  <c r="I38" i="10"/>
  <c r="J38" i="10" s="1"/>
  <c r="V38" i="10" s="1"/>
  <c r="J37" i="10"/>
  <c r="V37" i="10" s="1"/>
  <c r="I37" i="10"/>
  <c r="D36" i="10"/>
  <c r="H36" i="10" s="1"/>
  <c r="I36" i="10" s="1"/>
  <c r="D35" i="10"/>
  <c r="H35" i="10" s="1"/>
  <c r="I35" i="10" s="1"/>
  <c r="M35" i="10" s="1"/>
  <c r="V34" i="10"/>
  <c r="D33" i="10"/>
  <c r="H33" i="10" s="1"/>
  <c r="I33" i="10" s="1"/>
  <c r="U33" i="10" s="1"/>
  <c r="V33" i="10" s="1"/>
  <c r="I32" i="10"/>
  <c r="U32" i="10" s="1"/>
  <c r="V32" i="10" s="1"/>
  <c r="H32" i="10"/>
  <c r="D32" i="10"/>
  <c r="Q31" i="10"/>
  <c r="P31" i="10"/>
  <c r="O31" i="10"/>
  <c r="N31" i="10"/>
  <c r="I31" i="10"/>
  <c r="U31" i="10" s="1"/>
  <c r="H31" i="10"/>
  <c r="D31" i="10"/>
  <c r="J30" i="10"/>
  <c r="K30" i="10" s="1"/>
  <c r="L30" i="10" s="1"/>
  <c r="M30" i="10" s="1"/>
  <c r="N30" i="10" s="1"/>
  <c r="O30" i="10" s="1"/>
  <c r="P30" i="10" s="1"/>
  <c r="Q30" i="10" s="1"/>
  <c r="R30" i="10" s="1"/>
  <c r="S30" i="10" s="1"/>
  <c r="T30" i="10" s="1"/>
  <c r="U30" i="10" s="1"/>
  <c r="D30" i="10"/>
  <c r="H29" i="10"/>
  <c r="I29" i="10" s="1"/>
  <c r="U29" i="10" s="1"/>
  <c r="V29" i="10" s="1"/>
  <c r="D29" i="10"/>
  <c r="S28" i="10"/>
  <c r="R28" i="10"/>
  <c r="Q28" i="10"/>
  <c r="P28" i="10"/>
  <c r="I28" i="10"/>
  <c r="T28" i="10" s="1"/>
  <c r="H28" i="10"/>
  <c r="D28" i="10"/>
  <c r="D27" i="10"/>
  <c r="H27" i="10" s="1"/>
  <c r="I27" i="10" s="1"/>
  <c r="J27" i="10" s="1"/>
  <c r="U26" i="10"/>
  <c r="Q26" i="10"/>
  <c r="P26" i="10"/>
  <c r="O26" i="10"/>
  <c r="N26" i="10"/>
  <c r="M26" i="10"/>
  <c r="L26" i="10"/>
  <c r="K26" i="10"/>
  <c r="I26" i="10"/>
  <c r="T26" i="10" s="1"/>
  <c r="H26" i="10"/>
  <c r="D26" i="10"/>
  <c r="V25" i="10"/>
  <c r="U24" i="10"/>
  <c r="T24" i="10"/>
  <c r="S24" i="10"/>
  <c r="R24" i="10"/>
  <c r="Q24" i="10"/>
  <c r="P24" i="10"/>
  <c r="O24" i="10"/>
  <c r="N24" i="10"/>
  <c r="M24" i="10"/>
  <c r="L24" i="10"/>
  <c r="K24" i="10"/>
  <c r="J24" i="10"/>
  <c r="D24" i="10"/>
  <c r="H24" i="10" s="1"/>
  <c r="I24" i="10" s="1"/>
  <c r="C24" i="10"/>
  <c r="P23" i="10"/>
  <c r="Q23" i="10" s="1"/>
  <c r="R23" i="10" s="1"/>
  <c r="S23" i="10" s="1"/>
  <c r="T23" i="10" s="1"/>
  <c r="U23" i="10" s="1"/>
  <c r="M23" i="10"/>
  <c r="L23" i="10"/>
  <c r="K23" i="10"/>
  <c r="J23" i="10"/>
  <c r="D23" i="10"/>
  <c r="H23" i="10" s="1"/>
  <c r="I23" i="10" s="1"/>
  <c r="N23" i="10" s="1"/>
  <c r="O23" i="10" s="1"/>
  <c r="C22" i="10"/>
  <c r="D22" i="10" s="1"/>
  <c r="H22" i="10" s="1"/>
  <c r="I22" i="10" s="1"/>
  <c r="J22" i="10" s="1"/>
  <c r="E21" i="10"/>
  <c r="D21" i="10"/>
  <c r="D20" i="10"/>
  <c r="H20" i="10" s="1"/>
  <c r="I20" i="10" s="1"/>
  <c r="I19" i="10"/>
  <c r="N19" i="10" s="1"/>
  <c r="H19" i="10"/>
  <c r="D19" i="10"/>
  <c r="G18" i="10"/>
  <c r="D18" i="10"/>
  <c r="H18" i="10" s="1"/>
  <c r="I18" i="10" s="1"/>
  <c r="J18" i="10" s="1"/>
  <c r="K18" i="10" s="1"/>
  <c r="L18" i="10" s="1"/>
  <c r="M18" i="10" s="1"/>
  <c r="N18" i="10" s="1"/>
  <c r="O18" i="10" s="1"/>
  <c r="P18" i="10" s="1"/>
  <c r="Q18" i="10" s="1"/>
  <c r="R18" i="10" s="1"/>
  <c r="S18" i="10" s="1"/>
  <c r="T18" i="10" s="1"/>
  <c r="U18" i="10" s="1"/>
  <c r="C17" i="10"/>
  <c r="D17" i="10" s="1"/>
  <c r="D16" i="10" s="1"/>
  <c r="I15" i="10"/>
  <c r="T15" i="10" s="1"/>
  <c r="H15" i="10"/>
  <c r="D15" i="10"/>
  <c r="D14" i="10"/>
  <c r="H14" i="10" s="1"/>
  <c r="I14" i="10" s="1"/>
  <c r="J14" i="10" s="1"/>
  <c r="D13" i="10"/>
  <c r="H13" i="10" s="1"/>
  <c r="I13" i="10" s="1"/>
  <c r="U13" i="10" s="1"/>
  <c r="V13" i="10" s="1"/>
  <c r="H12" i="10"/>
  <c r="I12" i="10" s="1"/>
  <c r="R12" i="10" s="1"/>
  <c r="D11" i="10"/>
  <c r="H11" i="10" s="1"/>
  <c r="I11" i="10" s="1"/>
  <c r="L11" i="10" s="1"/>
  <c r="C11" i="10"/>
  <c r="D10" i="10"/>
  <c r="H10" i="10" s="1"/>
  <c r="I10" i="10" s="1"/>
  <c r="N10" i="10" s="1"/>
  <c r="H9" i="10"/>
  <c r="I9" i="10" s="1"/>
  <c r="U9" i="10" s="1"/>
  <c r="V9" i="10" s="1"/>
  <c r="D9" i="10"/>
  <c r="D8" i="10"/>
  <c r="H8" i="10" s="1"/>
  <c r="I8" i="10" s="1"/>
  <c r="D7" i="10"/>
  <c r="D6" i="10" s="1"/>
  <c r="H5" i="10"/>
  <c r="I5" i="10" s="1"/>
  <c r="U5" i="10" s="1"/>
  <c r="D5" i="10"/>
  <c r="V4" i="10"/>
  <c r="T5" i="10" l="1"/>
  <c r="T20" i="10"/>
  <c r="Q20" i="10"/>
  <c r="O20" i="10"/>
  <c r="S20" i="10"/>
  <c r="R20" i="10"/>
  <c r="P20" i="10"/>
  <c r="U20" i="10"/>
  <c r="N20" i="10"/>
  <c r="R44" i="10"/>
  <c r="O44" i="10"/>
  <c r="Q44" i="10"/>
  <c r="P44" i="10"/>
  <c r="N44" i="10"/>
  <c r="T44" i="10"/>
  <c r="S44" i="10"/>
  <c r="M44" i="10"/>
  <c r="U44" i="10"/>
  <c r="L44" i="10"/>
  <c r="K14" i="10"/>
  <c r="L14" i="10" s="1"/>
  <c r="M14" i="10" s="1"/>
  <c r="N14" i="10" s="1"/>
  <c r="O14" i="10" s="1"/>
  <c r="P14" i="10" s="1"/>
  <c r="Q14" i="10" s="1"/>
  <c r="R14" i="10" s="1"/>
  <c r="S14" i="10" s="1"/>
  <c r="T14" i="10" s="1"/>
  <c r="U14" i="10" s="1"/>
  <c r="M11" i="10"/>
  <c r="N11" i="10" s="1"/>
  <c r="O11" i="10" s="1"/>
  <c r="P11" i="10" s="1"/>
  <c r="Q11" i="10" s="1"/>
  <c r="R11" i="10" s="1"/>
  <c r="S11" i="10" s="1"/>
  <c r="T11" i="10" s="1"/>
  <c r="U11" i="10" s="1"/>
  <c r="V11" i="10"/>
  <c r="N35" i="10"/>
  <c r="O35" i="10" s="1"/>
  <c r="P35" i="10" s="1"/>
  <c r="Q35" i="10" s="1"/>
  <c r="R35" i="10" s="1"/>
  <c r="S35" i="10" s="1"/>
  <c r="T35" i="10" s="1"/>
  <c r="U35" i="10" s="1"/>
  <c r="V35" i="10"/>
  <c r="K27" i="10"/>
  <c r="L27" i="10" s="1"/>
  <c r="M27" i="10" s="1"/>
  <c r="N27" i="10" s="1"/>
  <c r="O27" i="10" s="1"/>
  <c r="P27" i="10" s="1"/>
  <c r="Q27" i="10" s="1"/>
  <c r="R27" i="10" s="1"/>
  <c r="S27" i="10" s="1"/>
  <c r="T27" i="10" s="1"/>
  <c r="U27" i="10" s="1"/>
  <c r="V27" i="10"/>
  <c r="V19" i="10"/>
  <c r="S46" i="10"/>
  <c r="R46" i="10"/>
  <c r="O46" i="10"/>
  <c r="Q46" i="10"/>
  <c r="P46" i="10"/>
  <c r="N46" i="10"/>
  <c r="U46" i="10"/>
  <c r="T46" i="10"/>
  <c r="U10" i="10"/>
  <c r="K10" i="10"/>
  <c r="V10" i="10" s="1"/>
  <c r="R10" i="10"/>
  <c r="Q10" i="10"/>
  <c r="T10" i="10"/>
  <c r="S10" i="10"/>
  <c r="M10" i="10"/>
  <c r="L10" i="10"/>
  <c r="U8" i="10"/>
  <c r="K8" i="10"/>
  <c r="R8" i="10"/>
  <c r="T8" i="10"/>
  <c r="Q8" i="10"/>
  <c r="S8" i="10"/>
  <c r="M8" i="10"/>
  <c r="L8" i="10"/>
  <c r="P10" i="10"/>
  <c r="N39" i="10"/>
  <c r="O39" i="10" s="1"/>
  <c r="P39" i="10" s="1"/>
  <c r="Q39" i="10" s="1"/>
  <c r="R39" i="10" s="1"/>
  <c r="S39" i="10" s="1"/>
  <c r="T39" i="10" s="1"/>
  <c r="U39" i="10" s="1"/>
  <c r="V39" i="10"/>
  <c r="L46" i="10"/>
  <c r="O8" i="10"/>
  <c r="M46" i="10"/>
  <c r="P8" i="10"/>
  <c r="M36" i="10"/>
  <c r="T36" i="10"/>
  <c r="L36" i="10"/>
  <c r="R36" i="10"/>
  <c r="U36" i="10"/>
  <c r="S36" i="10"/>
  <c r="O36" i="10"/>
  <c r="N36" i="10"/>
  <c r="V47" i="10"/>
  <c r="K47" i="10"/>
  <c r="L47" i="10" s="1"/>
  <c r="M47" i="10" s="1"/>
  <c r="N47" i="10" s="1"/>
  <c r="O47" i="10" s="1"/>
  <c r="P47" i="10" s="1"/>
  <c r="Q47" i="10" s="1"/>
  <c r="R47" i="10" s="1"/>
  <c r="S47" i="10" s="1"/>
  <c r="T47" i="10" s="1"/>
  <c r="U47" i="10" s="1"/>
  <c r="O12" i="10"/>
  <c r="N12" i="10"/>
  <c r="U12" i="10"/>
  <c r="Q12" i="10"/>
  <c r="P12" i="10"/>
  <c r="M42" i="10"/>
  <c r="S42" i="10"/>
  <c r="T42" i="10"/>
  <c r="U42" i="10"/>
  <c r="O42" i="10"/>
  <c r="N42" i="10"/>
  <c r="R42" i="10"/>
  <c r="H17" i="10"/>
  <c r="I17" i="10" s="1"/>
  <c r="O17" i="10" s="1"/>
  <c r="K22" i="10"/>
  <c r="J21" i="10"/>
  <c r="Q42" i="10"/>
  <c r="V24" i="10"/>
  <c r="P36" i="10"/>
  <c r="P41" i="10"/>
  <c r="L41" i="10"/>
  <c r="O41" i="10"/>
  <c r="M41" i="10"/>
  <c r="N41" i="10"/>
  <c r="R41" i="10"/>
  <c r="Q41" i="10"/>
  <c r="U41" i="10"/>
  <c r="K41" i="10"/>
  <c r="O10" i="10"/>
  <c r="N8" i="10"/>
  <c r="S12" i="10"/>
  <c r="O19" i="10"/>
  <c r="P19" i="10" s="1"/>
  <c r="Q19" i="10" s="1"/>
  <c r="R19" i="10" s="1"/>
  <c r="S19" i="10" s="1"/>
  <c r="T19" i="10" s="1"/>
  <c r="U19" i="10" s="1"/>
  <c r="T12" i="10"/>
  <c r="D48" i="10"/>
  <c r="D3" i="10"/>
  <c r="V23" i="10"/>
  <c r="Q36" i="10"/>
  <c r="J41" i="10"/>
  <c r="U15" i="10"/>
  <c r="H7" i="10"/>
  <c r="I7" i="10" s="1"/>
  <c r="L15" i="10"/>
  <c r="O28" i="10"/>
  <c r="M31" i="10"/>
  <c r="R15" i="10"/>
  <c r="R26" i="10"/>
  <c r="V26" i="10" s="1"/>
  <c r="U28" i="10"/>
  <c r="V30" i="10"/>
  <c r="S31" i="10"/>
  <c r="R40" i="10"/>
  <c r="S15" i="10"/>
  <c r="S26" i="10"/>
  <c r="T31" i="10"/>
  <c r="S40" i="10"/>
  <c r="R31" i="10"/>
  <c r="V41" i="10" l="1"/>
  <c r="V8" i="10"/>
  <c r="P17" i="10"/>
  <c r="O16" i="10"/>
  <c r="V36" i="10"/>
  <c r="V42" i="10"/>
  <c r="K21" i="10"/>
  <c r="L22" i="10"/>
  <c r="V12" i="10"/>
  <c r="V5" i="10"/>
  <c r="V46" i="10"/>
  <c r="V28" i="10"/>
  <c r="M15" i="10"/>
  <c r="N15" i="10" s="1"/>
  <c r="O15" i="10" s="1"/>
  <c r="P15" i="10" s="1"/>
  <c r="Q15" i="10" s="1"/>
  <c r="P7" i="10"/>
  <c r="P6" i="10" s="1"/>
  <c r="M7" i="10"/>
  <c r="M6" i="10" s="1"/>
  <c r="O7" i="10"/>
  <c r="O6" i="10" s="1"/>
  <c r="N7" i="10"/>
  <c r="N6" i="10" s="1"/>
  <c r="L7" i="10"/>
  <c r="L6" i="10" s="1"/>
  <c r="R7" i="10"/>
  <c r="R6" i="10" s="1"/>
  <c r="Q7" i="10"/>
  <c r="Q6" i="10" s="1"/>
  <c r="K7" i="10"/>
  <c r="K6" i="10" s="1"/>
  <c r="J7" i="10"/>
  <c r="U7" i="10"/>
  <c r="U6" i="10" s="1"/>
  <c r="T7" i="10"/>
  <c r="T6" i="10" s="1"/>
  <c r="S7" i="10"/>
  <c r="S6" i="10" s="1"/>
  <c r="V14" i="10"/>
  <c r="V31" i="10"/>
  <c r="V44" i="10"/>
  <c r="V20" i="10"/>
  <c r="L21" i="10" l="1"/>
  <c r="M22" i="10"/>
  <c r="V7" i="10"/>
  <c r="J6" i="10"/>
  <c r="J3" i="10" s="1"/>
  <c r="K3" i="10"/>
  <c r="Q17" i="10"/>
  <c r="P16" i="10"/>
  <c r="V15" i="10"/>
  <c r="L3" i="10"/>
  <c r="R17" i="10" l="1"/>
  <c r="Q16" i="10"/>
  <c r="M21" i="10"/>
  <c r="M3" i="10" s="1"/>
  <c r="N22" i="10"/>
  <c r="O22" i="10" l="1"/>
  <c r="N21" i="10"/>
  <c r="N3" i="10" s="1"/>
  <c r="S17" i="10"/>
  <c r="R16" i="10"/>
  <c r="T17" i="10" l="1"/>
  <c r="S16" i="10"/>
  <c r="O21" i="10"/>
  <c r="O3" i="10" s="1"/>
  <c r="P22" i="10"/>
  <c r="Q22" i="10" l="1"/>
  <c r="P21" i="10"/>
  <c r="P3" i="10" s="1"/>
  <c r="T16" i="10"/>
  <c r="U17" i="10"/>
  <c r="U16" i="10" l="1"/>
  <c r="V17" i="10"/>
  <c r="R22" i="10"/>
  <c r="Q21" i="10"/>
  <c r="Q3" i="10" s="1"/>
  <c r="S22" i="10" l="1"/>
  <c r="R21" i="10"/>
  <c r="R3" i="10" s="1"/>
  <c r="T22" i="10" l="1"/>
  <c r="S21" i="10"/>
  <c r="S3" i="10" s="1"/>
  <c r="T21" i="10" l="1"/>
  <c r="U22" i="10"/>
  <c r="T3" i="10"/>
  <c r="U21" i="10" l="1"/>
  <c r="V22" i="10"/>
  <c r="V3" i="10" s="1"/>
  <c r="U3" i="10"/>
  <c r="H31" i="7" l="1"/>
  <c r="H30" i="7"/>
  <c r="H28" i="7" s="1"/>
  <c r="H29" i="7"/>
  <c r="H25" i="7"/>
  <c r="H24" i="7"/>
  <c r="H23" i="7"/>
  <c r="H22" i="7" s="1"/>
  <c r="H21" i="7"/>
  <c r="H17" i="7" s="1"/>
  <c r="H20" i="7"/>
  <c r="H19" i="7"/>
  <c r="H18" i="7"/>
  <c r="H16" i="7"/>
  <c r="H15" i="7"/>
  <c r="H14" i="7"/>
  <c r="H13" i="7"/>
  <c r="H12" i="7"/>
  <c r="H11" i="7"/>
  <c r="H5" i="7" s="1"/>
  <c r="H10" i="7"/>
  <c r="H9" i="7"/>
  <c r="H8" i="7"/>
  <c r="H7" i="7"/>
  <c r="H6" i="7"/>
  <c r="H33" i="7" l="1"/>
  <c r="H23" i="1" l="1"/>
  <c r="H22" i="1"/>
  <c r="H19" i="1"/>
  <c r="H21" i="1"/>
  <c r="H4" i="9"/>
  <c r="E20" i="9"/>
  <c r="C13" i="5"/>
  <c r="H44" i="1" l="1"/>
  <c r="D9" i="8"/>
  <c r="D31" i="8" s="1"/>
  <c r="D26" i="8"/>
  <c r="D33" i="8" s="1"/>
  <c r="D18" i="8"/>
  <c r="D32" i="8" s="1"/>
  <c r="C10" i="4"/>
  <c r="C9" i="2"/>
  <c r="I58" i="3"/>
  <c r="J58" i="3" s="1"/>
  <c r="K58" i="3" s="1"/>
  <c r="I57" i="3"/>
  <c r="J57" i="3" s="1"/>
  <c r="K57" i="3" s="1"/>
  <c r="I56" i="3"/>
  <c r="J56" i="3" s="1"/>
  <c r="J55" i="3"/>
  <c r="K55" i="3" s="1"/>
  <c r="I55" i="3"/>
  <c r="J54" i="3"/>
  <c r="K54" i="3" s="1"/>
  <c r="I54" i="3"/>
  <c r="K53" i="3"/>
  <c r="J53" i="3"/>
  <c r="J52" i="3"/>
  <c r="K52" i="3" s="1"/>
  <c r="J51" i="3"/>
  <c r="K51" i="3" s="1"/>
  <c r="I50" i="3"/>
  <c r="K49" i="3"/>
  <c r="J49" i="3"/>
  <c r="I49" i="3"/>
  <c r="J48" i="3"/>
  <c r="I48" i="3"/>
  <c r="K48" i="3" s="1"/>
  <c r="I47" i="3"/>
  <c r="J47" i="3" s="1"/>
  <c r="K47" i="3" s="1"/>
  <c r="J46" i="3"/>
  <c r="K46" i="3" s="1"/>
  <c r="I46" i="3"/>
  <c r="H46" i="3"/>
  <c r="H45" i="3"/>
  <c r="I45" i="3" s="1"/>
  <c r="I44" i="3"/>
  <c r="K43" i="3"/>
  <c r="J43" i="3"/>
  <c r="I43" i="3"/>
  <c r="J42" i="3"/>
  <c r="I42" i="3"/>
  <c r="K42" i="3" s="1"/>
  <c r="I41" i="3"/>
  <c r="J41" i="3" s="1"/>
  <c r="K41" i="3" s="1"/>
  <c r="J40" i="3"/>
  <c r="K40" i="3" s="1"/>
  <c r="I40" i="3"/>
  <c r="I39" i="3"/>
  <c r="J39" i="3" s="1"/>
  <c r="J38" i="3"/>
  <c r="K38" i="3" s="1"/>
  <c r="I38" i="3"/>
  <c r="I37" i="3"/>
  <c r="K36" i="3"/>
  <c r="J36" i="3"/>
  <c r="I36" i="3"/>
  <c r="I35" i="3"/>
  <c r="J35" i="3" s="1"/>
  <c r="K35" i="3" s="1"/>
  <c r="I34" i="3"/>
  <c r="K33" i="3"/>
  <c r="J33" i="3"/>
  <c r="I33" i="3"/>
  <c r="J32" i="3"/>
  <c r="I32" i="3"/>
  <c r="K32" i="3" s="1"/>
  <c r="I31" i="3"/>
  <c r="J31" i="3" s="1"/>
  <c r="K31" i="3" s="1"/>
  <c r="J30" i="3"/>
  <c r="K30" i="3" s="1"/>
  <c r="I30" i="3"/>
  <c r="J29" i="3"/>
  <c r="I29" i="3"/>
  <c r="K29" i="3" s="1"/>
  <c r="J28" i="3"/>
  <c r="K28" i="3" s="1"/>
  <c r="I28" i="3"/>
  <c r="J27" i="3"/>
  <c r="I27" i="3"/>
  <c r="K27" i="3" s="1"/>
  <c r="H27" i="3"/>
  <c r="J26" i="3"/>
  <c r="I26" i="3"/>
  <c r="K26" i="3" s="1"/>
  <c r="J25" i="3"/>
  <c r="I25" i="3"/>
  <c r="K25" i="3" s="1"/>
  <c r="H24" i="3"/>
  <c r="I24" i="3" s="1"/>
  <c r="I23" i="3"/>
  <c r="J23" i="3" s="1"/>
  <c r="I22" i="3"/>
  <c r="J21" i="3"/>
  <c r="I21" i="3"/>
  <c r="K21" i="3" s="1"/>
  <c r="I20" i="3"/>
  <c r="K20" i="3" s="1"/>
  <c r="I19" i="3"/>
  <c r="K19" i="3" s="1"/>
  <c r="I18" i="3"/>
  <c r="K18" i="3" s="1"/>
  <c r="I17" i="3"/>
  <c r="K17" i="3" s="1"/>
  <c r="I16" i="3"/>
  <c r="K16" i="3" s="1"/>
  <c r="I15" i="3"/>
  <c r="K15" i="3" s="1"/>
  <c r="J14" i="3"/>
  <c r="I14" i="3"/>
  <c r="K14" i="3" s="1"/>
  <c r="J13" i="3"/>
  <c r="I13" i="3"/>
  <c r="K13" i="3" s="1"/>
  <c r="I12" i="3"/>
  <c r="I11" i="3"/>
  <c r="J11" i="3" s="1"/>
  <c r="K11" i="3" s="1"/>
  <c r="I10" i="3"/>
  <c r="J10" i="3" s="1"/>
  <c r="I9" i="3"/>
  <c r="I8" i="3"/>
  <c r="J8" i="3" s="1"/>
  <c r="I7" i="3"/>
  <c r="D34" i="8" l="1"/>
  <c r="K22" i="3"/>
  <c r="J45" i="3"/>
  <c r="K45" i="3" s="1"/>
  <c r="J24" i="3"/>
  <c r="K24" i="3" s="1"/>
  <c r="K12" i="3"/>
  <c r="K23" i="3"/>
  <c r="K39" i="3"/>
  <c r="K56" i="3"/>
  <c r="J37" i="3"/>
  <c r="K37" i="3" s="1"/>
  <c r="J34" i="3"/>
  <c r="K34" i="3" s="1"/>
  <c r="J44" i="3"/>
  <c r="K44" i="3" s="1"/>
  <c r="J50" i="3"/>
  <c r="K50" i="3" s="1"/>
  <c r="K8" i="3"/>
  <c r="J12" i="3"/>
  <c r="J9" i="3"/>
  <c r="K9" i="3" s="1"/>
  <c r="J22" i="3"/>
  <c r="J7" i="3"/>
  <c r="K10" i="3"/>
  <c r="I59" i="3"/>
  <c r="J59" i="3" l="1"/>
  <c r="K7" i="3"/>
  <c r="K5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Dang Thi Thanh. Hien [Garden-ACC]</author>
  </authors>
  <commentList>
    <comment ref="A5" authorId="0" shapeId="0" xr:uid="{24C3BF59-28FF-3E4E-9BE0-28EA34BE7DF7}">
      <text>
        <r>
          <rPr>
            <sz val="9"/>
            <color indexed="81"/>
            <rFont val="Tahoma"/>
            <family val="2"/>
          </rPr>
          <t>gộp BDG Admin - cước các loại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Dang Thi Thanh Hien</author>
  </authors>
  <commentList>
    <comment ref="A11" authorId="0" shapeId="0" xr:uid="{B07C66FC-A9C9-2D49-BD24-0B62304FFFD5}">
      <text>
        <r>
          <rPr>
            <b/>
            <sz val="9"/>
            <color indexed="81"/>
            <rFont val="Tahoma"/>
            <family val="2"/>
          </rPr>
          <t xml:space="preserve"> giai đoạn 2</t>
        </r>
        <r>
          <rPr>
            <sz val="9"/>
            <color indexed="81"/>
            <rFont val="Tahoma"/>
            <family val="2"/>
          </rPr>
          <t xml:space="preserve">
</t>
        </r>
      </text>
    </comment>
  </commentList>
</comments>
</file>

<file path=xl/sharedStrings.xml><?xml version="1.0" encoding="utf-8"?>
<sst xmlns="http://schemas.openxmlformats.org/spreadsheetml/2006/main" count="1322" uniqueCount="873">
  <si>
    <t>BITEXCO PROPERTY</t>
  </si>
  <si>
    <t>Tầm nhìn Bitexco/Bitexco Vision</t>
  </si>
  <si>
    <t>Bitexco Group's goal is to be a leading international, multi-industry corporation. We aim to be globally competitive by executing world-class projects, thus making a significant contribution to the economic development and future of Vietnam./Mục tiêu của Tập đoàn Bitexco là trở thành một tập đoàn quốc tế, đa ngành hàng đầu. Chúng tôi đặt mục tiêu cạnh tranh toàn cầu bằng cách thực hiện các dự án đẳng cấp thế giới, đóng góp vào sự phát triển kinh tế và tương lai của Việt Nam.</t>
  </si>
  <si>
    <t>Department Vision/Tầm nhìn Bộ phận</t>
  </si>
  <si>
    <t>Ban Công nghệ Thông tin Bitexco định hướng trở thành động lực chiến lược trong hành trình chuyển đổi Công ty bất động sản truyền thống của Bitexco thành Công ty Công nghệ Bất động sản (PropTech), thông qua việc xây dựng và vận hành nền tảng công nghệ và dữ liệu hiện đại, an toàn, linh hoạt, làm nền tảng cho quản lý, vận hành và đầu tư tài sản hiệu quả, minh bạch và bền vững, góp phần nâng cao năng lực cạnh tranh và giá trị dài hạn của Bitexco.
The Information Technology Division of Bitexco is positioned to become a strategic driving force in transforming Bitexco from a traditional real estate company into a Real Estate Technology (PropTech) company, by building and operating modern, secure, and flexible technology and data platforms that serve as the foundation for efficient, transparent, and sustainable asset management, operations, and investment, thereby enhancing Bitexco’s competitiveness and long-term value.</t>
  </si>
  <si>
    <t>Sứ mệnh Bitexco/Bitexco Mission</t>
  </si>
  <si>
    <t xml:space="preserve">Bitexco Group has always played a pioneering role in the key areas of the Vietnamese economy. We always strive to develop and introduce international standards into every our project. Our staff &amp; the member companies in the Group always strive to achieve the highest standards. Contributing to Vietnam's economic development and improving people's quality of life is at the heart of our business philosophy. As an international corporation, Bitexco Group is responsible for contributing to the national interests and promoting the image of a dynamic and prosperous Vietnam around the world. In increasingly modernized world nowadays, Bitexco Group's top priority is solid economic development both at home and abroad. /Tập đoàn Bitexco luôn đóng vai trò tiên phong trong các lĩnh vực then chốt của nền  kinh tế Việt Nam. Chúng tôi luôn nỗ lực phấn đấu phát triển và đưa các tiêu chuẩn  quốc tế vào từng dự án chúng tôi thực hiện. Đội ngũ cán bộ nhân viên cũng như các  công ty thành viên trong Tập đoàn luôn không ngừng phấn đấu đạt tới chuẩn mực  cao nhất. Góp phần vào quá trình phát triển kinh tế Việt Nam và nâng cao chất lượng sống cho  người dân là trọng tâm của triết lý kinh doanh của chúng tôi. Với vai trò là một Tập  đoàn mang tầm vóc quốc tế, Tập đoàn Bitexco có trách nhiệm đóng góp vào lợi ích  quốc gia và quảng bá hình ảnh về một đất nước Việt Nam năng động và thịnh vượng  trên toàn thế giới. Trong một thế giới hiện đại hoá ngày càng sâu rộng như hiện nay, ưu tiên trọng tâm  hàng đầu của Tập đoàn chúng tôi là phát triển kinh tế bền vững ở cả trong và ngoài  nước.
</t>
  </si>
  <si>
    <t>Sứ mệnh Bộ phận/Department Mission</t>
  </si>
  <si>
    <t>Ban Công nghệ Thông tin Bitexco có sứ mệnh dẫn dắt và đồng hành cùng Tập đoàn chuyển dịch từ mô hình phát triển bất động sản truyền thống sang mô hình quản lý, đầu tư và vận hành tài sản dựa trên công nghệ và dữ liệu, coi dữ liệu là tài sản chiến lược, từng bước xây dựng Bitexco trở thành Doanh nghiệp Công nghệ Bất động sản (PropTech), nâng cao hiệu quả vận hành, đầu tư và năng lực cạnh tranh dài hạn.
The Information Technology Division of Bitexco leads and supports the Group’s transition to a technology- and data-driven asset management, investment, and operations model, treating data as a strategic asset and progressively transforming Bitexco into a Real Estate Technology (PropTech) enterprise to enhance operational efficiency and long-term competitiveness.</t>
  </si>
  <si>
    <t>Chiến lược của Bitexco Property/
Strategy of Bitexco Property</t>
  </si>
  <si>
    <t>Công ty Công nghệ Bất động sản/Property Technology Company (PropTech Company)</t>
  </si>
  <si>
    <t>Vai trò phối hợp của các bộ phận trong Property/Coordinating roles of functional departments in Property: R - Thực hiện chính/Main Responsible; S - Hỗ trợ thực hiện/Support; C - Bên tham vấn/Consult, I - Bên nhận thông tin/Informed, A - Phê duyệt kết quả/Approve</t>
  </si>
  <si>
    <r>
      <rPr>
        <sz val="12"/>
        <color theme="1"/>
        <rFont val="Times New Roman"/>
        <family val="1"/>
      </rPr>
      <t xml:space="preserve">Property internal personnel' roles: </t>
    </r>
    <r>
      <rPr>
        <b/>
        <sz val="12"/>
        <color theme="1"/>
        <rFont val="Times New Roman"/>
        <family val="1"/>
      </rPr>
      <t xml:space="preserve">R </t>
    </r>
    <r>
      <rPr>
        <sz val="12"/>
        <color theme="1"/>
        <rFont val="Times New Roman"/>
        <family val="1"/>
      </rPr>
      <t xml:space="preserve">- Thực hiện chính/Main Responsible; </t>
    </r>
    <r>
      <rPr>
        <b/>
        <sz val="12"/>
        <color theme="1"/>
        <rFont val="Times New Roman"/>
        <family val="1"/>
      </rPr>
      <t>S</t>
    </r>
    <r>
      <rPr>
        <sz val="12"/>
        <color theme="1"/>
        <rFont val="Times New Roman"/>
        <family val="1"/>
      </rPr>
      <t xml:space="preserve"> - Hỗ trợ thực hiện/Support; </t>
    </r>
    <r>
      <rPr>
        <b/>
        <sz val="12"/>
        <color theme="1"/>
        <rFont val="Times New Roman"/>
        <family val="1"/>
      </rPr>
      <t xml:space="preserve">C </t>
    </r>
    <r>
      <rPr>
        <sz val="12"/>
        <color theme="1"/>
        <rFont val="Times New Roman"/>
        <family val="1"/>
      </rPr>
      <t>- Bên tham vấn/Consult,</t>
    </r>
    <r>
      <rPr>
        <b/>
        <sz val="12"/>
        <color theme="1"/>
        <rFont val="Times New Roman"/>
        <family val="1"/>
      </rPr>
      <t xml:space="preserve"> A</t>
    </r>
    <r>
      <rPr>
        <sz val="12"/>
        <color theme="1"/>
        <rFont val="Times New Roman"/>
        <family val="1"/>
      </rPr>
      <t xml:space="preserve"> - Chịu trách nhiệm kết quả của bộ phận/Accountable for department's results</t>
    </r>
  </si>
  <si>
    <t>R, S, C, I: Có thể liên quan nhiều bộ phận trên mỗi dòng công việc/ May involve multiple departments each line; A: chỉ điền 1 bộ phận trên mỗi dòng công việc/ Only fill one department is ultimately accountable for each line</t>
  </si>
  <si>
    <r>
      <rPr>
        <b/>
        <sz val="12"/>
        <color theme="1"/>
        <rFont val="Times New Roman"/>
        <family val="1"/>
      </rPr>
      <t>R, S, C</t>
    </r>
    <r>
      <rPr>
        <sz val="12"/>
        <color theme="1"/>
        <rFont val="Times New Roman"/>
        <family val="1"/>
      </rPr>
      <t xml:space="preserve">: Có thể liên quan nhiều người trên mỗi dòng công việc/ May involve multiple individuals each line; </t>
    </r>
    <r>
      <rPr>
        <b/>
        <sz val="12"/>
        <color theme="1"/>
        <rFont val="Times New Roman"/>
        <family val="1"/>
      </rPr>
      <t>A</t>
    </r>
    <r>
      <rPr>
        <sz val="12"/>
        <color theme="1"/>
        <rFont val="Times New Roman"/>
        <family val="1"/>
      </rPr>
      <t>: chỉ điền 1 người trên mỗi dòng công việc/ Only fill one individual is ultimately accountable for each line</t>
    </r>
  </si>
  <si>
    <r>
      <rPr>
        <b/>
        <sz val="12"/>
        <color theme="1"/>
        <rFont val="Times New Roman"/>
        <family val="1"/>
      </rPr>
      <t xml:space="preserve">Stt/
</t>
    </r>
    <r>
      <rPr>
        <i/>
        <sz val="12"/>
        <color theme="1"/>
        <rFont val="Times New Roman"/>
        <family val="1"/>
      </rPr>
      <t>No</t>
    </r>
  </si>
  <si>
    <r>
      <rPr>
        <b/>
        <sz val="12"/>
        <color theme="1"/>
        <rFont val="Times New Roman"/>
        <family val="1"/>
      </rPr>
      <t xml:space="preserve">Phân nhóm chức năng của Bộ phận/
</t>
    </r>
    <r>
      <rPr>
        <i/>
        <sz val="12"/>
        <color theme="1"/>
        <rFont val="Times New Roman"/>
        <family val="1"/>
      </rPr>
      <t>Functional grouping of Department</t>
    </r>
  </si>
  <si>
    <r>
      <rPr>
        <b/>
        <sz val="12"/>
        <color theme="1"/>
        <rFont val="Times New Roman"/>
        <family val="1"/>
      </rPr>
      <t xml:space="preserve">Mục tiêu của Bộ phận/
</t>
    </r>
    <r>
      <rPr>
        <i/>
        <sz val="12"/>
        <color theme="1"/>
        <rFont val="Times New Roman"/>
        <family val="1"/>
      </rPr>
      <t>Objectives of Department</t>
    </r>
  </si>
  <si>
    <r>
      <rPr>
        <b/>
        <sz val="12"/>
        <color theme="1"/>
        <rFont val="Times New Roman"/>
        <family val="1"/>
      </rPr>
      <t xml:space="preserve">Kết quả chính cần đạt được trong năm 2026 của Bộ phận
</t>
    </r>
    <r>
      <rPr>
        <i/>
        <sz val="12"/>
        <color theme="1"/>
        <rFont val="Times New Roman"/>
        <family val="1"/>
      </rPr>
      <t>2026 Key Deliverables of Department</t>
    </r>
    <r>
      <rPr>
        <b/>
        <sz val="12"/>
        <color theme="1"/>
        <rFont val="Times New Roman"/>
        <family val="1"/>
      </rPr>
      <t xml:space="preserve">
</t>
    </r>
  </si>
  <si>
    <t>BOD Property</t>
  </si>
  <si>
    <t>PMG</t>
  </si>
  <si>
    <t>Marketing</t>
  </si>
  <si>
    <t>CRM</t>
  </si>
  <si>
    <t>Skydeck</t>
  </si>
  <si>
    <t>IT</t>
  </si>
  <si>
    <r>
      <rPr>
        <b/>
        <sz val="12"/>
        <color theme="1"/>
        <rFont val="Times New Roman"/>
        <family val="1"/>
      </rPr>
      <t xml:space="preserve">Tên các Công ty, Dự án cần phụ trách
</t>
    </r>
    <r>
      <rPr>
        <i/>
        <sz val="12"/>
        <color theme="1"/>
        <rFont val="Times New Roman"/>
        <family val="1"/>
      </rPr>
      <t xml:space="preserve">Names of companies, projects to be in charge of </t>
    </r>
  </si>
  <si>
    <r>
      <rPr>
        <b/>
        <sz val="12"/>
        <color theme="1"/>
        <rFont val="Times New Roman"/>
        <family val="1"/>
      </rPr>
      <t xml:space="preserve">Tên đối tác thuê ngoài cụ thể/loại hình đối tác thuê ngoài
</t>
    </r>
    <r>
      <rPr>
        <i/>
        <sz val="12"/>
        <color theme="1"/>
        <rFont val="Times New Roman"/>
        <family val="1"/>
      </rPr>
      <t>Name of specific outsourced partners / type of outsourced partners</t>
    </r>
  </si>
  <si>
    <r>
      <t xml:space="preserve">Ngân sách thuê ngoài
</t>
    </r>
    <r>
      <rPr>
        <i/>
        <sz val="12"/>
        <color theme="1"/>
        <rFont val="Times New Roman"/>
        <family val="1"/>
      </rPr>
      <t>Outsourcing Budget (tỷ đồng/billion dong)</t>
    </r>
  </si>
  <si>
    <t>PHẠM THỊ MAI</t>
  </si>
  <si>
    <t>NGUYỄN VĂN THÀNH</t>
  </si>
  <si>
    <t>LÊ QUANG HUY</t>
  </si>
  <si>
    <t>NGUYỄN NHƯ THÀNH</t>
  </si>
  <si>
    <t>VŨ VĂN LONG</t>
  </si>
  <si>
    <t>NGUYỄN THÀNH LÂM</t>
  </si>
  <si>
    <t>GARDEN-SW</t>
  </si>
  <si>
    <t>TẠ THÀNH ĐƯC</t>
  </si>
  <si>
    <t>LÀM THANH HOÀNG</t>
  </si>
  <si>
    <t>NGÔ TRỌNG KHOA</t>
  </si>
  <si>
    <t>IT - MINH QUANG</t>
  </si>
  <si>
    <t>IT - BHMC</t>
  </si>
  <si>
    <t>I</t>
  </si>
  <si>
    <t>XÂY DỰNG CHIẾN LƯỢC/STRATEGY DEVELOPMENT</t>
  </si>
  <si>
    <t>BITEXCO PROPERTY:
 BITEXCO JSC VP,
 BFT, TMCP
 THE GARDEN,
 AURA/BHMC,
 MINH QUANG,
 BIGNANOTECH,
 BIGCAPTAL,
 OV, KLOES/DW,
 BTC&amp;BIG ENERGY,
 THEMANOR/BMTL/PMG,
 THESTARFITNESS,
 DADAY/BT-CHUVANAN,
 Diamond</t>
  </si>
  <si>
    <t>FPT Digital,
 CMC solution,
 EY-Parthenon,
 JLL (Technology Advisory)</t>
  </si>
  <si>
    <t>R - Responsible</t>
  </si>
  <si>
    <t>S - Support</t>
  </si>
  <si>
    <t>Xây dựng Chiến lược CNTT &amp; Chuyển đổi số BĐS/Chiến lược PropTech</t>
  </si>
  <si>
    <t>Định hướng CNTT trở thành nền tảng cốt lõi cho phát triển – quản lý – đầu tư BĐS</t>
  </si>
  <si>
    <t>Ban hành Chiến lược CNTT &amp; DX 2026–2030 gắn với chiến lược Tập đoàn</t>
  </si>
  <si>
    <t>Chiến lược Dữ liệu &amp; AI</t>
  </si>
  <si>
    <t>Xem dữ liệu là tài sản (Data as Asset)</t>
  </si>
  <si>
    <t>Khung Data Strategy, AI Strategy, danh mục use-case ưu tiên</t>
  </si>
  <si>
    <t>Kiến trúc CNTT &amp; Nền tảng số</t>
  </si>
  <si>
    <t>Chuẩn hóa kiến trúc ứng dụng – hạ tầng</t>
  </si>
  <si>
    <t>Enterprise Architecture, Application Map, Integration Blueprint</t>
  </si>
  <si>
    <t>Chiến lược An toàn thông tin &amp; Quản trị rủi ro</t>
  </si>
  <si>
    <t>Bảo vệ tài sản số và tuân thủ</t>
  </si>
  <si>
    <t>Khung Cybersecurity, DRP, BCP, Zero Trust</t>
  </si>
  <si>
    <t>Chiến lược ERP &amp; Hệ thống lõi</t>
  </si>
  <si>
    <t>Hiện đại hóa hệ thống tài chính – vận hành</t>
  </si>
  <si>
    <t>Lộ trình ERP (Cloud/Hybrid), thay thế/chuẩn hóa hệ thống</t>
  </si>
  <si>
    <t>Chiến lược IT Governance</t>
  </si>
  <si>
    <t>Minh bạch quản trị CNTT</t>
  </si>
  <si>
    <t>Chiến lược Nhân sự CNTT</t>
  </si>
  <si>
    <t>Xây dựng đội ngũ CNTT chiến lược</t>
  </si>
  <si>
    <t>IT Skill, kế hoạch đào tạo &amp; tuyển dụng</t>
  </si>
  <si>
    <t>II</t>
  </si>
  <si>
    <t>THỰC THI CHIẾN LƯỢC/STRATEGY IMPLEMENTATION</t>
  </si>
  <si>
    <t>Triển khai ERP &amp; Core Systems
Triển khai Data Platform &amp; BI,
 [Integration &amp; Automation (API, AI),]</t>
  </si>
  <si>
    <t>Chuẩn hóa tài chính – kế toán – quản trị</t>
  </si>
  <si>
    <t>ERP vận hành ổn định, dữ liệu tập trung</t>
  </si>
  <si>
    <t>HỆ SINH THÁI BITEXCO</t>
  </si>
  <si>
    <t>SAP/BRAVO/MISA/FPT/CITEX</t>
  </si>
  <si>
    <t>A - Accountable</t>
  </si>
  <si>
    <t>HRM, Portal, eContract, eInvoice, DMS/Adm</t>
  </si>
  <si>
    <t>Chuẩn hoá quản trị nhân sự</t>
  </si>
  <si>
    <t>Xây dựng Digital Workplace thống nhất, số hóa toàn bộ quản trị nhân sự</t>
  </si>
  <si>
    <t>FPT IS/Gimasys/CMC TS/Misa/VNPT iOffice/SAP-SuccessFactors/BRAVO/..</t>
  </si>
  <si>
    <t>Office365/Clound: Sharepoint, AI, Communication, MeetingRoom,.WorkSpace.</t>
  </si>
  <si>
    <t>VIIETTEL, FPT</t>
  </si>
  <si>
    <t>CDP – Data Marketing;
CRM (AURA,GD,TMCP,BFT), BitexcoOne/Loyalty,</t>
  </si>
  <si>
    <t>Ra quyết định dựa trên dữ liệu</t>
  </si>
  <si>
    <t>Data Warehouse, CDP, BI Dashboard cho BOD</t>
  </si>
  <si>
    <t>FPT Digital, Gimasys,
 FPT Software, CMC TS,
 Salesforce, Deloitte/FPT, Microsoft,
 FPT IS, VNPAY, Itel</t>
  </si>
  <si>
    <t xml:space="preserve">1&gt;Triển khai AI &amp; Automation/MarTech Platform
2&gt;Performance Marketing (Lead Generation)
3&gt;Content – Website – Landing Page
4&gt;Omni-channel &amp; Automation
</t>
  </si>
  <si>
    <t>Tăng hiệu suất, giảm chi phí vận hành</t>
  </si>
  <si>
    <t>AI Agents, RPA cho Finance, HR, Leasing</t>
  </si>
  <si>
    <t>FPT Software, CMC TS, 
 DXC Technology, ITEL.
 Novaon Digital
 PMAX, CleverAds</t>
  </si>
  <si>
    <t>5&gt;POS, Hospitality sercies</t>
  </si>
  <si>
    <t xml:space="preserve">Garden,Fitness, </t>
  </si>
  <si>
    <t>CMC</t>
  </si>
  <si>
    <t>1&gt;Quản lý tài sản BĐS (CAFM, P.PMS)
 2&gt;QL Vận hành – bảo trì: CMS, Mobi,
 3&gt;Smart Building &amp; Building Systems (BMS, IoT Sensors)
 5&gt;Data – AI cho BĐS, BIM, TENDER
Integration &amp; Automation (API, AI)</t>
  </si>
  <si>
    <t>Số hóa vận hành BĐS</t>
  </si>
  <si>
    <t>BIM, CMMS, CAFM, BMS tích hợp</t>
  </si>
  <si>
    <t>Planon (JLL, Savills),
 Spacewell (FM, IoT),
 IBM Maximo (FPT, CMC),
 Schneider Electric,
 Siemens,
 Honeywell,
 MRI Software (Ls, Tenant),
 SAP RE-FX
 Autodesk.
 FPT Digital,
 DXC Technology,
 CMS TS.</t>
  </si>
  <si>
    <r>
      <t xml:space="preserve">Nền tảng lõi quản lý dự án &amp; thiết kế (PDP)
</t>
    </r>
    <r>
      <rPr>
        <sz val="12"/>
        <color theme="1"/>
        <rFont val="Calibri"/>
        <family val="2"/>
        <scheme val="minor"/>
      </rPr>
      <t>(Core Project &amp; Design Platform (PDP))</t>
    </r>
  </si>
  <si>
    <t>DX for DMD, PDD</t>
  </si>
  <si>
    <t>PDP, approval workflows, BIM/CDE, data standards</t>
  </si>
  <si>
    <t>1GIS Landbank &amp; Risk Platform
Best Use Analysis Tool
Feasibility Engine (Living Financial Model)</t>
  </si>
  <si>
    <t>DX For PDD</t>
  </si>
  <si>
    <t>Leasing &amp; Tenant system,
C.PMS (Quản lý cư dân)</t>
  </si>
  <si>
    <t>Liên thông dữ liệu toàn hệ sinh thái</t>
  </si>
  <si>
    <t>ESB/API Gateway hoạt động ổn định</t>
  </si>
  <si>
    <t>FPT, CMC, Viettel,DXC Technology</t>
  </si>
  <si>
    <t>Chuyển đổi hạ tầng CNTT</t>
  </si>
  <si>
    <t>Đảm bảo hiệu năng – sẵn sàng cao</t>
  </si>
  <si>
    <t>Cloud/Hybrid, HA, DR site</t>
  </si>
  <si>
    <t>Thực thi An toàn thông tin, chuẩn hoá dữ liệu, ứng dụng</t>
  </si>
  <si>
    <t>Giảm thiểu rủi ro CNTT</t>
  </si>
  <si>
    <t>IAM, MFA, EDR/XDR, SIEM</t>
  </si>
  <si>
    <t>Quản lý dự án CNTT</t>
  </si>
  <si>
    <t>Đảm bảo tiến độ – chất lượng</t>
  </si>
  <si>
    <t>PMO CNTT, chuẩn Agile/Waterfall</t>
  </si>
  <si>
    <t>Chuẩn hóa vận hành CNTT</t>
  </si>
  <si>
    <t>Tăng tính ổn định hệ thống</t>
  </si>
  <si>
    <t>ITIL processes, SOP CNTT</t>
  </si>
  <si>
    <t>Quản lý nhà cung cấp CNTT,</t>
  </si>
  <si>
    <t>Tối ưu chi phí &amp; chất lượng</t>
  </si>
  <si>
    <t>Tối ưu chi phí &amp; chất lượng, SLA (Service Level Agreement)</t>
  </si>
  <si>
    <t>Số hoá dự án, văn phòng số ((SAN, Hyperid, SP)</t>
  </si>
  <si>
    <t>Số hoá, tập trung và quản trị toàn bộ hồ sơ của doanh nghiệp BĐS theo vòng đời,</t>
  </si>
  <si>
    <t>Giảm thời gian tìm kiếm hồ sơ</t>
  </si>
  <si>
    <t>POS,</t>
  </si>
  <si>
    <t>III</t>
  </si>
  <si>
    <t>VẬN HÀNH/ OPERATION</t>
  </si>
  <si>
    <t>Vận hành hệ thống CNTT</t>
  </si>
  <si>
    <t>Đảm bảo hệ thống ổn định 24/7</t>
  </si>
  <si>
    <t>Uptime ≥ 99.9%, SLA đạt cam kết</t>
  </si>
  <si>
    <t>C - Consult</t>
  </si>
  <si>
    <t>Hỗ trợ người dùng &amp; nghiệp vụ</t>
  </si>
  <si>
    <t>CNTT phục vụ kinh doanh</t>
  </si>
  <si>
    <t>Service Desk,Uptime ≥ 90%</t>
  </si>
  <si>
    <t>Quản lý tài sản CNTT</t>
  </si>
  <si>
    <t>Kiểm soát chi phí và vòng đời</t>
  </si>
  <si>
    <t>IT Asset Management, License Compliance</t>
  </si>
  <si>
    <t>IV</t>
  </si>
  <si>
    <t>OTHERS</t>
  </si>
  <si>
    <t>BFT (19B)</t>
  </si>
  <si>
    <t>THE GARDEN (4B)</t>
  </si>
  <si>
    <t xml:space="preserve">BHMC/AURA </t>
  </si>
  <si>
    <t>IT PROJECTS PLANNING</t>
  </si>
  <si>
    <t>IT Projects</t>
  </si>
  <si>
    <t>Duration: Dec, 2026</t>
  </si>
  <si>
    <t>Project</t>
  </si>
  <si>
    <t>Item</t>
  </si>
  <si>
    <t>Cost (Million)</t>
  </si>
  <si>
    <t>B.Parter</t>
  </si>
  <si>
    <t>Start Date</t>
  </si>
  <si>
    <t>End Date</t>
  </si>
  <si>
    <t>Status</t>
  </si>
  <si>
    <t>Jan</t>
  </si>
  <si>
    <t>Feb</t>
  </si>
  <si>
    <t>March</t>
  </si>
  <si>
    <t>April</t>
  </si>
  <si>
    <t>May</t>
  </si>
  <si>
    <t>June</t>
  </si>
  <si>
    <t>July</t>
  </si>
  <si>
    <t>Aug</t>
  </si>
  <si>
    <t>Sept</t>
  </si>
  <si>
    <t>Oct</t>
  </si>
  <si>
    <t>Nov</t>
  </si>
  <si>
    <t>Dec</t>
  </si>
  <si>
    <t>OPEX &amp; CAPEX</t>
  </si>
  <si>
    <t>Week 1</t>
  </si>
  <si>
    <t>Week 2</t>
  </si>
  <si>
    <t>Week 3</t>
  </si>
  <si>
    <t>Week 4</t>
  </si>
  <si>
    <t>BITEXCO JSC</t>
  </si>
  <si>
    <t xml:space="preserve">02.System Administration &amp; Infrastructure/Network
</t>
  </si>
  <si>
    <t>Mua mới máy tính cho CBNV mới (dự kiến theo HR gửi thông tin )</t>
  </si>
  <si>
    <t>✅ Completed</t>
  </si>
  <si>
    <t>Network system, Licenses (duy trì SSL, Domain)</t>
  </si>
  <si>
    <t>✏️ In progress</t>
  </si>
  <si>
    <t xml:space="preserve">Network system, Leadline Viettel </t>
  </si>
  <si>
    <t>👀 Under review</t>
  </si>
  <si>
    <t>Office365 - 18 Cloud lưu trữ JSC</t>
  </si>
  <si>
    <t>Apples account. - yearly ($99)</t>
  </si>
  <si>
    <t>Google Acc DEV</t>
  </si>
  <si>
    <t xml:space="preserve">Nâng cấp hệ thống bảo mật mail, và chống spam mail </t>
  </si>
  <si>
    <t>License Antivirus Symantec JSC ( 90PC )</t>
  </si>
  <si>
    <t>Chi phí dự phòng sửa chữa nâng cấp JSC</t>
  </si>
  <si>
    <t>Hệ thống wifi, máy chủ OV tòa tây</t>
  </si>
  <si>
    <t>Chi phí license windows, SQL, cho máy chủ</t>
  </si>
  <si>
    <t>Mua dụng cụ sửa chữa thay thế máy tính, mạng…</t>
  </si>
  <si>
    <t>Mua mới 10 user office 365 Basic</t>
  </si>
  <si>
    <t xml:space="preserve">Nâng cấp ổ cứng lưu trữ cho hệ thống SAN Storage </t>
  </si>
  <si>
    <t>Nâng cấp dung lượng và bộ nhớ RAM cho máy chủ mail ngày càng phình to</t>
  </si>
  <si>
    <t>Mua Mới máy tính cho IT ( Huylq, Longvv ) đã sử dụng hơn 5 năm</t>
  </si>
  <si>
    <t>Trang bị thêm các bộ phát wifi thay thế các dòng sản phẩm cũ</t>
  </si>
  <si>
    <t>Xây dựng mói phòng máy chủ xuống hầm B2 GD theo chỉ đạo của MD Hà với S=35m2</t>
  </si>
  <si>
    <t>Mua mới 02 Lap thiết kế, 01 PC thiết kế chạy AI</t>
  </si>
  <si>
    <t>Gia hạn Zoommeting 03 acc</t>
  </si>
  <si>
    <t>Xây dựng Private Cloud ( mua platform Redhat dựng trên TB phần cứng của mình)</t>
  </si>
  <si>
    <t xml:space="preserve">03.Application Development &amp; Solution Management
</t>
  </si>
  <si>
    <t>Xây dựng lại hệ thống ERP (SAP/BRAVO/MISA)</t>
  </si>
  <si>
    <t>DX: AKChain (UX,CX,Loyalty, CDP-Dulieu Khach hang)/BItexcoOne</t>
  </si>
  <si>
    <t>MKT, IT</t>
  </si>
  <si>
    <r>
      <rPr>
        <sz val="11"/>
        <color rgb="FF000000"/>
        <rFont val="Aptos Narrow"/>
      </rPr>
      <t>DX: AKInsight (</t>
    </r>
    <r>
      <rPr>
        <b/>
        <sz val="11"/>
        <color rgb="FF000000"/>
        <rFont val="Aptos Narrow"/>
      </rPr>
      <t>Data Lake, BIj)</t>
    </r>
  </si>
  <si>
    <t xml:space="preserve">Datalake for each specialized field </t>
  </si>
  <si>
    <t>BI design (DB, UI, UX, ACCOUNT)</t>
  </si>
  <si>
    <t>Báo cáo quản trị/ERP/BRAVO</t>
  </si>
  <si>
    <t>Hệ thống quản lý nhân sự (HRM)</t>
  </si>
  <si>
    <t>Portal Upgd/EA/ABSENT/VPP/…/eOffice (VP SỐ)</t>
  </si>
  <si>
    <t>Server for DC (Dự tính server triển khai TC_KT: 3 Server (1:App, 2: Core))</t>
  </si>
  <si>
    <t>TENDER/PURCHASING management system</t>
  </si>
  <si>
    <t>IT, QS, EPL</t>
  </si>
  <si>
    <t>KPI; Portal; BitexcoRun; PDS; AMS; POS/CRM; BitexcoSport;..</t>
  </si>
  <si>
    <t>HỆ THỐNG QUẢN LÝ TOÀ NHÀ, TENANT (For HighRise &amp; Block13)</t>
  </si>
  <si>
    <t xml:space="preserve">04.Data Center, PMO &amp; Digital Projects
</t>
  </si>
  <si>
    <t xml:space="preserve">Wifi Marketing, Websites </t>
  </si>
  <si>
    <t>TMCP, BFT, AURA, NANO, ENERGY, GARDEN, MQ,</t>
  </si>
  <si>
    <t>CCTV TTTM, Mkt-Flatform</t>
  </si>
  <si>
    <t>Garden, TMCP,</t>
  </si>
  <si>
    <t>AI Tool, AI flatform,</t>
  </si>
  <si>
    <t>05.Provides consulting and services across key technology and management domains.</t>
  </si>
  <si>
    <t>BFT (Bitexco Financial Tower)</t>
  </si>
  <si>
    <t>MINH QUANG (HN/HCM)</t>
  </si>
  <si>
    <t>Hợp đồng số, Văn Phòng Số</t>
  </si>
  <si>
    <t>Hệ thống quản lý dự án xây dựng, cơ điện (SW, Apps)</t>
  </si>
  <si>
    <t>ePortal/EA/Sharepoint/Sites/Website/FanPages,.. (nâng cấp)</t>
  </si>
  <si>
    <t>eMail-Hyperrid; Cloud;..(nâng cấp)</t>
  </si>
  <si>
    <t>THE GARDEN</t>
  </si>
  <si>
    <t>BIGCAPITAL (HN/HCM/GLOBAL/Enrg)</t>
  </si>
  <si>
    <t>Máy móc thiết bị</t>
  </si>
  <si>
    <t>Cloud/data/</t>
  </si>
  <si>
    <t>Sites-SharePoint/</t>
  </si>
  <si>
    <t>Hệ thống TCKT/ERP</t>
  </si>
  <si>
    <t>BITEXCO ENERGY (HN/HCM)</t>
  </si>
  <si>
    <t>Hệ thống phân tích địa trấn</t>
  </si>
  <si>
    <t>Sites-SharePoint/Websites</t>
  </si>
  <si>
    <t>DIAMOND</t>
  </si>
  <si>
    <t>EA &amp; Quản lý bán hàng</t>
  </si>
  <si>
    <t>BUDGET CNTT PHỤC VỤ DX TÀI CHÍNH – KẾ TOÁN</t>
  </si>
  <si>
    <t>Nhóm hệ thống / System Category (VN/EN)</t>
  </si>
  <si>
    <t>Hệ thống – Giải pháp &amp; Vai trò (VN / EN)</t>
  </si>
  <si>
    <t>Budget Year 1 (tỷ)</t>
  </si>
  <si>
    <t>Vendor</t>
  </si>
  <si>
    <t>ERP lõi / Core ERP</t>
  </si>
  <si>
    <t>ERP quản lý Tài chính – Kế toán end-to-end / End-to-end Finance &amp; Accounting ERP</t>
  </si>
  <si>
    <t>BRAVO</t>
  </si>
  <si>
    <t>Hợp nhất BCTC / Financial Consolidation</t>
  </si>
  <si>
    <t>Hợp nhất báo cáo tài chính Tập đoàn (VAS/IFRS) / Group financial consolidation</t>
  </si>
  <si>
    <t>BRAVO/FPT</t>
  </si>
  <si>
    <t>Ngân hàng điện tử / e-Banking Integration</t>
  </si>
  <si>
    <t>Kết nối ngân hàng, UNC, đối soát &amp; hạch toán tự động / Bank integration &amp; reconciliation</t>
  </si>
  <si>
    <t>Bank + BRAVO</t>
  </si>
  <si>
    <t>Hóa đơn điện tử / e-Invoice</t>
  </si>
  <si>
    <t>Phát hành &amp; hạch toán hóa đơn điện tử tích hợp ERP / e-Invoice integrated with ERP</t>
  </si>
  <si>
    <t>VNPT / Viettel</t>
  </si>
  <si>
    <t>Hợp đồng điện tử &amp; Ký số / e-Contract &amp; Digital Signature</t>
  </si>
  <si>
    <t>Ký hợp đồng, hồ sơ thanh toán điện tử / Digital contract signing</t>
  </si>
  <si>
    <t>FPT / Bkav/Viettel</t>
  </si>
  <si>
    <t>Kho hồ sơ số / Data Room – DMS</t>
  </si>
  <si>
    <t>Lưu trữ &amp; chia sẻ hồ sơ dự án, hợp đồng theo phân quyền / Secure data room &amp; document management</t>
  </si>
  <si>
    <t>Microsoft</t>
  </si>
  <si>
    <t>Workflow &amp; EA thay thế / Workflow &amp; EA Replacement</t>
  </si>
  <si>
    <t>Phê duyệt chủ trương, PO, Payment Request trên ERP / Approval workflow replacing legacy EA</t>
  </si>
  <si>
    <t>Báo cáo quản trị / BI &amp; Dashboards</t>
  </si>
  <si>
    <t>Dashboard CFO/BOD, báo cáo real-time / Management dashboards &amp; BI</t>
  </si>
  <si>
    <t>Văn phòng số / Digital Workplace</t>
  </si>
  <si>
    <t>Email, Teams, chia sẻ &amp; cộng tác nội bộ / Digital workplace &amp; internal collaboration</t>
  </si>
  <si>
    <t>TC,KT: 15P*215K*12</t>
  </si>
  <si>
    <t>AI hỗ trợ nghiệp vụ / AI Support (Basic)</t>
  </si>
  <si>
    <t>AI/Copilot hỗ trợ báo cáo, cập nhật pháp lý, công việc chuyên môn / AI &amp; Copilot basic support</t>
  </si>
  <si>
    <t>Tổng cộng</t>
  </si>
  <si>
    <t>LEVEL 1 – DATA FOUNDATION (BẮT BUỘC LÀM TRƯỚC)</t>
  </si>
  <si>
    <t>Group (Nhóm)</t>
  </si>
  <si>
    <t>System (Hệ thống)</t>
  </si>
  <si>
    <t>Role (Vai trò)</t>
  </si>
  <si>
    <t>Budget MIN</t>
  </si>
  <si>
    <t>Vendor gợi ý</t>
  </si>
  <si>
    <t>Data</t>
  </si>
  <si>
    <t>Lead &amp; customer management / Quản lý lead &amp; KH</t>
  </si>
  <si>
    <t>Zoho, Odoo</t>
  </si>
  <si>
    <t>AIM</t>
  </si>
  <si>
    <t>Project &amp; product info / Hồ sơ dự án, sản phẩm</t>
  </si>
  <si>
    <t>In-house (Infra, Tools)</t>
  </si>
  <si>
    <t>Analytics</t>
  </si>
  <si>
    <t>AI Market Research</t>
  </si>
  <si>
    <t>Market trend &amp; pricing / Phân tích thị trường</t>
  </si>
  <si>
    <t>AI Agent + tool</t>
  </si>
  <si>
    <t>Platform</t>
  </si>
  <si>
    <t>Integration</t>
  </si>
  <si>
    <t>CRM–Web–Sales sync / Đồng bộ dữ liệu</t>
  </si>
  <si>
    <t>In-house</t>
  </si>
  <si>
    <t>Digital Workplace</t>
  </si>
  <si>
    <t>Email, SharePoint, Teams, AI, office &amp; BIM tools, training</t>
  </si>
  <si>
    <t>TOTAL LEVEL 1 (năm đầu)</t>
  </si>
  <si>
    <t>LEVEL 2 – REVENUE ENGINE (LÀM GỌN – TẠO DOANH THU)</t>
  </si>
  <si>
    <t>Group</t>
  </si>
  <si>
    <t>System</t>
  </si>
  <si>
    <t>Role</t>
  </si>
  <si>
    <t>Experience</t>
  </si>
  <si>
    <t>Web Sales / VR nhẹ</t>
  </si>
  <si>
    <t>Project presentation / Trình diễn dự án</t>
  </si>
  <si>
    <t>ITEL</t>
  </si>
  <si>
    <t>Sales Ops</t>
  </si>
  <si>
    <t>SMS</t>
  </si>
  <si>
    <t>Sales pipeline &amp; booking / Quản lý bán hàng</t>
  </si>
  <si>
    <t>Marketing Automation</t>
  </si>
  <si>
    <t>Email/SMS basic / Chăm sóc KH cơ bản</t>
  </si>
  <si>
    <t>0.8</t>
  </si>
  <si>
    <t>SaaS</t>
  </si>
  <si>
    <t>Integration (gộp)</t>
  </si>
  <si>
    <t>Realtime data sync / Đồng bộ realtime</t>
  </si>
  <si>
    <t>TOTAL LEVEL 2 (năm hai)</t>
  </si>
  <si>
    <t>LEVEL 3 – STRATEGIC INTELLIGENCE (CHỈ LÀM MỨC CƠ BẢN)</t>
  </si>
  <si>
    <t>Data Mart (CDP Core)</t>
  </si>
  <si>
    <t>Central sales data / Dữ liệu bán hàng</t>
  </si>
  <si>
    <t>Azure SQL</t>
  </si>
  <si>
    <t>Management</t>
  </si>
  <si>
    <t>Strategic Dashboard</t>
  </si>
  <si>
    <t>BOD dashboard / Dashboard lãnh đạo</t>
  </si>
  <si>
    <t>Power BI</t>
  </si>
  <si>
    <t>ALM (basic scenario)</t>
  </si>
  <si>
    <t>Simple IRR scenario / Kịch bản cơ bản</t>
  </si>
  <si>
    <t>Governance</t>
  </si>
  <si>
    <t>Data Security</t>
  </si>
  <si>
    <t>Access control / Phân quyền dữ liệu</t>
  </si>
  <si>
    <t>M365</t>
  </si>
  <si>
    <t>TOTAL LEVEL 3 (năm ba)</t>
  </si>
  <si>
    <t>OVERALL MINIMUM BUDGET SUMMARY (NGÂN SÁCH TỐI THIỂU)</t>
  </si>
  <si>
    <t>Level</t>
  </si>
  <si>
    <t>Budget (tỷ VNĐ)</t>
  </si>
  <si>
    <t>Level 1 – Data Foundation</t>
  </si>
  <si>
    <t>Level 2 – Revenue Engine</t>
  </si>
  <si>
    <t>Level 3 – Strategic Intelligence</t>
  </si>
  <si>
    <t>TOTAL DX SALES &amp; MARKETING (MIN)</t>
  </si>
  <si>
    <t>BẢNG BUDGET TỔNG HỢP – HR &amp; ADMIN (Song ngữ VN/EN – gộp 1 cột)</t>
  </si>
  <si>
    <t>Nhóm (Group)</t>
  </si>
  <si>
    <t>Hệ thống / Ứng dụng (System)</t>
  </si>
  <si>
    <t>Vai trò / Chức năng chính (Role)</t>
  </si>
  <si>
    <t>Hình thức (Type)</t>
  </si>
  <si>
    <t>Budget (Tỷ VND/năm)</t>
  </si>
  <si>
    <t>Vendor tham khảo</t>
  </si>
  <si>
    <t>HR</t>
  </si>
  <si>
    <t>HRM Core (Hồ sơ nhân sự, HĐLĐ, BHXH)</t>
  </si>
  <si>
    <t>Quản lý hồ sơ nhân sự, hợp đồng, quá trình công tác</t>
  </si>
  <si>
    <t>Base HRM / Odoo HR</t>
  </si>
  <si>
    <t>6,6tỷ/30đơn vị</t>
  </si>
  <si>
    <t>Payroll (Tính lương)</t>
  </si>
  <si>
    <t>Tính lương, thuế TNCN, BHXH</t>
  </si>
  <si>
    <t>Module</t>
  </si>
  <si>
    <t>Tích hợp HRM</t>
  </si>
  <si>
    <t>Time Attendance (Chấm công)</t>
  </si>
  <si>
    <t>Chấm công, ca kíp, OT</t>
  </si>
  <si>
    <t>WiseEye / FaceID</t>
  </si>
  <si>
    <t>Recruitment (Tuyển dụng)</t>
  </si>
  <si>
    <t>Quản lý tuyển dụng, CV, phỏng vấn</t>
  </si>
  <si>
    <t>Base Hiring</t>
  </si>
  <si>
    <t>Performance &amp; KPI</t>
  </si>
  <si>
    <t>Đánh giá hiệu suất, KPI</t>
  </si>
  <si>
    <t>Base Performance</t>
  </si>
  <si>
    <t>eLearning / Training</t>
  </si>
  <si>
    <t>Đào tạo nội bộ, LMS</t>
  </si>
  <si>
    <t>Moodle Cloud</t>
  </si>
  <si>
    <t>eSign / eContract</t>
  </si>
  <si>
    <t>Ký HĐLĐ điện tử</t>
  </si>
  <si>
    <t>FPT.eSign</t>
  </si>
  <si>
    <t>ADMIN</t>
  </si>
  <si>
    <t>DMS – Văn thư lưu trữ</t>
  </si>
  <si>
    <t>Quản lý công văn đi/đến, hồ sơ pháp lý, hồ sơ dự án</t>
  </si>
  <si>
    <t>SharePoint / DMS VN</t>
  </si>
  <si>
    <t>Admin</t>
  </si>
  <si>
    <t>Asset Management (Tài sản)</t>
  </si>
  <si>
    <t>Quản lý TS, xe, thiết bị VP</t>
  </si>
  <si>
    <t>Odoo Asset</t>
  </si>
  <si>
    <t>Facility / Office Management</t>
  </si>
  <si>
    <t>Quản lý phòng họp, thiết bị, booking</t>
  </si>
  <si>
    <t>Microsoft 365</t>
  </si>
  <si>
    <t>Reminder &amp; Scheduler</t>
  </si>
  <si>
    <t>Nhắc việc, nhắc lịch, sự kiện nội bộ</t>
  </si>
  <si>
    <t>Power Automate</t>
  </si>
  <si>
    <t>Event Management</t>
  </si>
  <si>
    <t>Đăng ký sự kiện, gửi thư mời, khảo sát</t>
  </si>
  <si>
    <t>MS Forms / Event App</t>
  </si>
  <si>
    <t>DÙNG CHUNG</t>
  </si>
  <si>
    <t>Email, Teams, SharePoint (15–30 users)</t>
  </si>
  <si>
    <t>Microsoft 365 Std</t>
  </si>
  <si>
    <t>Dùng chung</t>
  </si>
  <si>
    <t>Workflow &amp; Automation</t>
  </si>
  <si>
    <t>Luồng duyệt, tự động hóa</t>
  </si>
  <si>
    <t>Power Platform</t>
  </si>
  <si>
    <t>BI &amp; Reporting (Light)</t>
  </si>
  <si>
    <t>Dashboard HR &amp; Admin</t>
  </si>
  <si>
    <t>Triển khai</t>
  </si>
  <si>
    <t>PM, Training, Change</t>
  </si>
  <si>
    <t>Quản lý dự án, đào tạo người dùng</t>
  </si>
  <si>
    <t>One-off</t>
  </si>
  <si>
    <t>IT nội bộ / Vendor</t>
  </si>
  <si>
    <t>Ngân sách CNTT năm 2026 cho DMD/BITEXCO</t>
  </si>
  <si>
    <r>
      <t xml:space="preserve">Chương trình chiến lược </t>
    </r>
    <r>
      <rPr>
        <b/>
        <i/>
        <sz val="12"/>
        <color theme="1"/>
        <rFont val="Calibri"/>
        <family val="2"/>
        <scheme val="minor"/>
      </rPr>
      <t>(Strategic Program)</t>
    </r>
  </si>
  <si>
    <r>
      <t xml:space="preserve">Nội dung chính </t>
    </r>
    <r>
      <rPr>
        <b/>
        <i/>
        <sz val="12"/>
        <color theme="1"/>
        <rFont val="Calibri"/>
        <family val="2"/>
        <scheme val="minor"/>
      </rPr>
      <t>(Key Scope)</t>
    </r>
  </si>
  <si>
    <r>
      <t xml:space="preserve">Ngân sách </t>
    </r>
    <r>
      <rPr>
        <b/>
        <i/>
        <sz val="12"/>
        <color theme="1"/>
        <rFont val="Calibri"/>
        <family val="2"/>
        <scheme val="minor"/>
      </rPr>
      <t>(Budget) 
– Bilion VND</t>
    </r>
  </si>
  <si>
    <r>
      <t xml:space="preserve">Giá trị mang lại cho Cty </t>
    </r>
    <r>
      <rPr>
        <b/>
        <i/>
        <sz val="12"/>
        <color theme="1"/>
        <rFont val="Calibri"/>
        <family val="2"/>
        <scheme val="minor"/>
      </rPr>
      <t>(Group Value)</t>
    </r>
  </si>
  <si>
    <r>
      <t xml:space="preserve">Type ứng dụng </t>
    </r>
    <r>
      <rPr>
        <b/>
        <i/>
        <sz val="11"/>
        <color theme="1"/>
        <rFont val="Calibri"/>
        <family val="2"/>
        <scheme val="minor"/>
      </rPr>
      <t>(Application Type)</t>
    </r>
  </si>
  <si>
    <t>BD Unit</t>
  </si>
  <si>
    <t>Suppliers</t>
  </si>
  <si>
    <r>
      <t xml:space="preserve">1. Nền tảng làm việc số &amp; con người
</t>
    </r>
    <r>
      <rPr>
        <sz val="12"/>
        <color theme="1"/>
        <rFont val="Calibri"/>
        <family val="2"/>
        <scheme val="minor"/>
      </rPr>
      <t>(Digital Workplace &amp; People</t>
    </r>
    <r>
      <rPr>
        <b/>
        <sz val="12"/>
        <color theme="1"/>
        <rFont val="Calibri"/>
        <family val="2"/>
        <scheme val="minor"/>
      </rPr>
      <t>)</t>
    </r>
  </si>
  <si>
    <t>Làm việc thống nhất, chuyên nghiệp, giảm phụ thuộc cá nhân  (Unified, professional working environment)</t>
  </si>
  <si>
    <t>Software / License / Service</t>
  </si>
  <si>
    <t>DMD/IT</t>
  </si>
  <si>
    <t>FPT/CMC/DXD</t>
  </si>
  <si>
    <r>
      <t xml:space="preserve">2. Thiết bị &amp; năng lực thực thi 
</t>
    </r>
    <r>
      <rPr>
        <sz val="12"/>
        <color theme="1"/>
        <rFont val="Calibri"/>
        <family val="2"/>
        <scheme val="minor"/>
      </rPr>
      <t>(End-user Readiness)</t>
    </r>
  </si>
  <si>
    <t>Laptops, screens, working devices (12p*50)</t>
  </si>
  <si>
    <t>Đảm bảo năng lực thực thi dự án &amp; thiết kế
(Ensures execution capability)</t>
  </si>
  <si>
    <t>Hardware</t>
  </si>
  <si>
    <r>
      <t xml:space="preserve">3. Nền tảng lõi quản lý dự án &amp; thiết kế (PDP)
</t>
    </r>
    <r>
      <rPr>
        <sz val="12"/>
        <color theme="1"/>
        <rFont val="Calibri"/>
        <family val="2"/>
        <scheme val="minor"/>
      </rPr>
      <t>(Core Project &amp; Design Platform (PDP))</t>
    </r>
  </si>
  <si>
    <t>Quản lý &amp; bảo toàn tài sản dự án
Dự án = tài sản dữ liệu, giảm rủi ro pháp lý
(Projects become long-term data assets)</t>
  </si>
  <si>
    <t>Software / Platform License / Implementation</t>
  </si>
  <si>
    <r>
      <t xml:space="preserve">4. Chuẩn hóa quy trình &amp; dữ liệu tập đoàn
</t>
    </r>
    <r>
      <rPr>
        <sz val="12"/>
        <color theme="1"/>
        <rFont val="Calibri"/>
        <family val="2"/>
        <scheme val="minor"/>
      </rPr>
      <t>(Enterprise Process &amp; Data Foundation)</t>
    </r>
  </si>
  <si>
    <t>Standard workflows, master data</t>
  </si>
  <si>
    <t>Minh bạch, nhất quán, nền tảng quản trị
(Consistency &amp; governance foundation)</t>
  </si>
  <si>
    <t>Software / Consulting</t>
  </si>
  <si>
    <r>
      <t xml:space="preserve">5. Báo cáo điều hành &amp; ra quyết định
</t>
    </r>
    <r>
      <rPr>
        <sz val="12"/>
        <color theme="1"/>
        <rFont val="Calibri"/>
        <family val="2"/>
        <scheme val="minor"/>
      </rPr>
      <t>(Executive Reporting &amp; BI)</t>
    </r>
  </si>
  <si>
    <t>BI dashboards, management reports</t>
  </si>
  <si>
    <t>Ra quyết định dựa trên dữ liệu
(Data-driven decision making)</t>
  </si>
  <si>
    <t>Software / License</t>
  </si>
  <si>
    <t>Accounting, Finance</t>
  </si>
  <si>
    <r>
      <t xml:space="preserve">6. Tự động hóa &amp; hiệu suất
</t>
    </r>
    <r>
      <rPr>
        <sz val="12"/>
        <color theme="1"/>
        <rFont val="Calibri"/>
        <family val="2"/>
        <scheme val="minor"/>
      </rPr>
      <t>(Automation &amp; Productivity)</t>
    </r>
  </si>
  <si>
    <t>Automation platform &amp; use cases</t>
  </si>
  <si>
    <t>Giảm chi phí vận hành, tăng hiệu suất
(Lower OPEX, higher efficiency)</t>
  </si>
  <si>
    <t>Platform / Software</t>
  </si>
  <si>
    <t xml:space="preserve"> TỔNG CỘNG / TOTAL</t>
  </si>
  <si>
    <r>
      <t xml:space="preserve">Nền tảng chuyển Bitexco sang PropTech &amp; mô hình đầu tư </t>
    </r>
    <r>
      <rPr>
        <sz val="12"/>
        <color theme="1"/>
        <rFont val="Calibri"/>
        <family val="2"/>
        <scheme val="minor"/>
      </rPr>
      <t>(Foundation for PropTech &amp; investment-driven model)</t>
    </r>
  </si>
  <si>
    <t>Ngân sách CNTT năm 2026 cho PDD/BITEXCO</t>
  </si>
  <si>
    <r>
      <t xml:space="preserve">Khối chức năng </t>
    </r>
    <r>
      <rPr>
        <b/>
        <i/>
        <sz val="11"/>
        <color theme="1"/>
        <rFont val="Calibri"/>
        <family val="2"/>
        <scheme val="minor"/>
      </rPr>
      <t>(Functional Block)</t>
    </r>
  </si>
  <si>
    <r>
      <t xml:space="preserve">Ngân sách </t>
    </r>
    <r>
      <rPr>
        <b/>
        <i/>
        <sz val="11"/>
        <color theme="1"/>
        <rFont val="Calibri"/>
        <family val="2"/>
        <scheme val="minor"/>
      </rPr>
      <t>(Budget)
Đơn vị (tỷ đồng) - Billiion VND</t>
    </r>
  </si>
  <si>
    <r>
      <t xml:space="preserve">Đơn vị cung cấp </t>
    </r>
    <r>
      <rPr>
        <b/>
        <i/>
        <sz val="11"/>
        <color theme="1"/>
        <rFont val="Calibri"/>
        <family val="2"/>
        <scheme val="minor"/>
      </rPr>
      <t>(Vendors)</t>
    </r>
  </si>
  <si>
    <t>1GIS Landbank &amp; Risk Platform</t>
  </si>
  <si>
    <r>
      <t xml:space="preserve">Số hóa </t>
    </r>
    <r>
      <rPr>
        <b/>
        <sz val="12"/>
        <color theme="1"/>
        <rFont val="Calibri"/>
        <family val="2"/>
        <scheme val="minor"/>
      </rPr>
      <t>landbank trọng điểm</t>
    </r>
    <r>
      <rPr>
        <sz val="12"/>
        <color theme="1"/>
        <rFont val="Calibri"/>
        <family val="2"/>
        <scheme val="minor"/>
      </rPr>
      <t xml:space="preserve">; lớp </t>
    </r>
    <r>
      <rPr>
        <b/>
        <sz val="12"/>
        <color theme="1"/>
        <rFont val="Calibri"/>
        <family val="2"/>
        <scheme val="minor"/>
      </rPr>
      <t>quy hoạch, pháp lý, hạ tầng</t>
    </r>
    <r>
      <rPr>
        <sz val="12"/>
        <color theme="1"/>
        <rFont val="Calibri"/>
        <family val="2"/>
        <scheme val="minor"/>
      </rPr>
      <t xml:space="preserve">
(Key landbank; planning, legal &amp; infrastructure layers)</t>
    </r>
  </si>
  <si>
    <t>SaaS GIS / GIS License</t>
  </si>
  <si>
    <t>Esri (ArcGIS)
Map4D
VNPT IT</t>
  </si>
  <si>
    <t>Best Use Analysis Tool</t>
  </si>
  <si>
    <r>
      <t xml:space="preserve">Logic rule-based theo </t>
    </r>
    <r>
      <rPr>
        <b/>
        <sz val="12"/>
        <color theme="1"/>
        <rFont val="Calibri"/>
        <family val="2"/>
        <scheme val="minor"/>
      </rPr>
      <t>quy hoạch + thị trường</t>
    </r>
    <r>
      <rPr>
        <sz val="12"/>
        <color theme="1"/>
        <rFont val="Calibri"/>
        <family val="2"/>
        <scheme val="minor"/>
      </rPr>
      <t>; 
(Rule-based, no advanced optimization)</t>
    </r>
  </si>
  <si>
    <t>Custom tool / BI-based</t>
  </si>
  <si>
    <t>FPT IS/CMC LS</t>
  </si>
  <si>
    <t>Feasibility Engine (Living Financial Model)</t>
  </si>
  <si>
    <r>
      <t xml:space="preserve">Mô hình tài chính chuẩn; </t>
    </r>
    <r>
      <rPr>
        <b/>
        <sz val="12"/>
        <color theme="1"/>
        <rFont val="Calibri"/>
        <family val="2"/>
        <scheme val="minor"/>
      </rPr>
      <t>5–7 biến số nhạy cảm</t>
    </r>
    <r>
      <rPr>
        <sz val="12"/>
        <color theme="1"/>
        <rFont val="Calibri"/>
        <family val="2"/>
        <scheme val="minor"/>
      </rPr>
      <t xml:space="preserve">
(Standard model; key sensitivity scenarios)</t>
    </r>
  </si>
  <si>
    <t>Custom software / Financial model</t>
  </si>
  <si>
    <t>Deloitte Vietnam
PwC Vietnam
KPMG Vietnam</t>
  </si>
  <si>
    <t>Data Platform &amp; Integration (light)</t>
  </si>
  <si>
    <t>Power BI + Dataflow/SQL; 
(No full-scale data lake)</t>
  </si>
  <si>
    <t>SaaS BI / Light data platform</t>
  </si>
  <si>
    <t>Microsoft (Power BI, SQL)/FPT IS</t>
  </si>
  <si>
    <t>Dashboard IC/BI/BO &amp; Reporting</t>
  </si>
  <si>
    <r>
      <t xml:space="preserve">Dashboard gọn: </t>
    </r>
    <r>
      <rPr>
        <b/>
        <sz val="12"/>
        <color theme="1"/>
        <rFont val="Calibri"/>
        <family val="2"/>
        <scheme val="minor"/>
      </rPr>
      <t>bản đồ – phương án – hiệu quả</t>
    </r>
    <r>
      <rPr>
        <sz val="12"/>
        <color theme="1"/>
        <rFont val="Calibri"/>
        <family val="2"/>
        <scheme val="minor"/>
      </rPr>
      <t xml:space="preserve">
(Map – options – financial outcomes)</t>
    </r>
  </si>
  <si>
    <t>SaaS BI / License</t>
  </si>
  <si>
    <t>Microsoft (Power BI)/Tableau</t>
  </si>
  <si>
    <t>PM, Training, Change Management</t>
  </si>
  <si>
    <t>PM tinh gọn; đào tạo theo vai trò
(Lean PM &amp; role-based training)</t>
  </si>
  <si>
    <t>Service</t>
  </si>
  <si>
    <t>Đối tác triển khai + nội bộ
(Implementation partner + internal team)</t>
  </si>
  <si>
    <t>Nền tảng làm việc chung</t>
  </si>
  <si>
    <t>TỔNG CỘNG / TOTAL</t>
  </si>
  <si>
    <t>BẢNG BÁO GIÁ DỊCH VỤ TRIỂN KHAI  TENDER (ITEL)</t>
  </si>
  <si>
    <t>Kính gửi:</t>
  </si>
  <si>
    <t>Bitexco JSC</t>
  </si>
  <si>
    <t>Chúng tôi xin gửi tới Quý khách hàng bảng chào giá dịch vụ triển khai Hệ thống Đấu thầu qua mạng như sau:</t>
  </si>
  <si>
    <t>VNĐ</t>
  </si>
  <si>
    <t>STT</t>
  </si>
  <si>
    <t>Mã hiệu</t>
  </si>
  <si>
    <t>Mô tả hàng hóa/dịch vụ</t>
  </si>
  <si>
    <t>Mô tả chi tiết</t>
  </si>
  <si>
    <t>Số lượng/Man-day</t>
  </si>
  <si>
    <t>Đơn giá</t>
  </si>
  <si>
    <t>Thành tiền (chưa VAT)</t>
  </si>
  <si>
    <t>Thuế VAT (10%)</t>
  </si>
  <si>
    <t>Thành tiền (Bao gồm VAT)</t>
  </si>
  <si>
    <t>E-CORE</t>
  </si>
  <si>
    <t>Hệ thống Core eBidding</t>
  </si>
  <si>
    <t>- Bản quyền sử dụng hệ thống core
- Bao gồm các tính năng cơ bản theo yêu cầu
- Hỗ trợ đầy đủ quy trình đấu thầu qua mạng</t>
  </si>
  <si>
    <t>E-CUSTOM</t>
  </si>
  <si>
    <t>Gói tùy chỉnh nghiệp vụ</t>
  </si>
  <si>
    <t>- Phân tích yêu cầu đặc thù của Bitexco
- Tùy chỉnh giao diện và workflow
- Tích hợp với hệ thống hiện có</t>
  </si>
  <si>
    <t>E-SURVEY</t>
  </si>
  <si>
    <t>Khảo sát &amp; Thiết kế chi tiết</t>
  </si>
  <si>
    <t>- Khảo sát hiện trạng hệ thống
- Phân tích yêu cầu nghiệp vụ
- Thiết kế kiến trúc và database</t>
  </si>
  <si>
    <t>E-DEV</t>
  </si>
  <si>
    <t>Phát triển tính năng bổ sung</t>
  </si>
  <si>
    <t>- Sơ tuyển nhà thầu (Pre-qualification)
- Q&amp;A và phát hành phụ lục HSMT
- Quản lý deadline động cho từng nhà thầu
- Tracking mở HSMT và thông báo tự động</t>
  </si>
  <si>
    <t>E-TEST</t>
  </si>
  <si>
    <t>Kiểm thử UAT</t>
  </si>
  <si>
    <t>- Kiểm thử tích hợp hệ thống
- UAT với người dùng cuối
- Đánh giá bảo mật và hiệu năng</t>
  </si>
  <si>
    <t>E-TRAIN</t>
  </si>
  <si>
    <t>Đào tạo người dùng</t>
  </si>
  <si>
    <t>- Đào tạo admin quản trị hệ thống
- Đào tạo cán bộ nghiệp vụ
- Đào tạo người dùng cuối (nhà thầu)</t>
  </si>
  <si>
    <t>E-DEPLOY</t>
  </si>
  <si>
    <t>Triển khai hệ thống</t>
  </si>
  <si>
    <t>- Cài đặt và cấu hình môi trường production
- Migration dữ liệu
- Go-live và hỗ trợ onsite</t>
  </si>
  <si>
    <t>E-DOC</t>
  </si>
  <si>
    <t>Tài liệu hệ thống</t>
  </si>
  <si>
    <t>- Tài liệu kỹ thuật hệ thống
- Hướng dẫn sử dụng
- Quy trình vận hành</t>
  </si>
  <si>
    <t>E-SUPPORT</t>
  </si>
  <si>
    <t>Hỗ trợ bảo hành 12 tháng</t>
  </si>
  <si>
    <t>- Hỗ trợ vận hành 24/7
- Sửa lỗi và cập nhật
- Tư vấn nghiệp vụ</t>
  </si>
  <si>
    <t>Tổng cộng (chưa bao gồm VAT)</t>
  </si>
  <si>
    <t>BẢNG BUDGET PROPTECH – PMU (LOW SCENARIO)</t>
  </si>
  <si>
    <t>Đơn vị: TỶ VND / NĂM</t>
  </si>
  <si>
    <t>Nhóm</t>
  </si>
  <si>
    <t>Hệ thống</t>
  </si>
  <si>
    <t>Vai trò chính cho PMU</t>
  </si>
  <si>
    <t>Mô hình</t>
  </si>
  <si>
    <t>Budget (tỷ)</t>
  </si>
  <si>
    <t>Ghi chú PMU</t>
  </si>
  <si>
    <t>1. Quản lý tài sản BĐS</t>
  </si>
  <si>
    <t>CAFM / Property PMS</t>
  </si>
  <si>
    <t>Quản lý tài sản, diện tích, vòng đời</t>
  </si>
  <si>
    <t>Cốt lõi cho mô hình Asset Management</t>
  </si>
  <si>
    <t>Portfolio PMS (PPMS)</t>
  </si>
  <si>
    <t>Theo dõi hiệu suất tài sản</t>
  </si>
  <si>
    <t>Dashboard cho PMU &amp; BOD</t>
  </si>
  <si>
    <t>2. Vận hành – Bảo trì</t>
  </si>
  <si>
    <t>CMS (Maintenance)</t>
  </si>
  <si>
    <t>Quản lý bảo trì, ticket, SLA</t>
  </si>
  <si>
    <t>Thay Excel + Zalo</t>
  </si>
  <si>
    <t>Mobile Ops App</t>
  </si>
  <si>
    <t>App cho đội kỹ thuật</t>
  </si>
  <si>
    <t>License</t>
  </si>
  <si>
    <t>Giảm thời gian phản hồi</t>
  </si>
  <si>
    <t>3. Smart Building</t>
  </si>
  <si>
    <t>BMS Integration Layer</t>
  </si>
  <si>
    <t>Kết nối BMS hiện hữu</t>
  </si>
  <si>
    <t>Không thay BMS hiện hữu</t>
  </si>
  <si>
    <t>IoT Sensors (pilot)</t>
  </si>
  <si>
    <t>Điện, nước, nhiệt độ</t>
  </si>
  <si>
    <t>HW + SW</t>
  </si>
  <si>
    <t>Thí điểm khu trọng điểm</t>
  </si>
  <si>
    <t>4. Data – AI – BIM – Tender</t>
  </si>
  <si>
    <t>Data Platform (Light)</t>
  </si>
  <si>
    <t>Thu thập &amp; chuẩn hóa dữ liệu</t>
  </si>
  <si>
    <t>Phục vụ báo cáo &amp; AI</t>
  </si>
  <si>
    <t>BI Dashboard (PMU/BOD)</t>
  </si>
  <si>
    <t>Báo cáo vận hành</t>
  </si>
  <si>
    <t>Power BI / tương đương</t>
  </si>
  <si>
    <t>BIM Ops / Digital Twin (Light)</t>
  </si>
  <si>
    <t>BIM cho vận hành</t>
  </si>
  <si>
    <t>Không làm BIM thiết kế mới</t>
  </si>
  <si>
    <t>e-Tender / QL nhà thầu</t>
  </si>
  <si>
    <t>So sánh giá, lịch sử NCC</t>
  </si>
  <si>
    <t>Minh bạch chi phí</t>
  </si>
  <si>
    <t>5. Integration &amp; Automation</t>
  </si>
  <si>
    <t>API Integration</t>
  </si>
  <si>
    <t>Kết nối ERP – PMS – CMS – BMS</t>
  </si>
  <si>
    <t>Tránh silo hệ thống</t>
  </si>
  <si>
    <t>AI Automation (basic)</t>
  </si>
  <si>
    <t>Phân loại ticket, cảnh báo</t>
  </si>
  <si>
    <t>Add-on</t>
  </si>
  <si>
    <t>Chưa dùng AI phức tạp</t>
  </si>
  <si>
    <t>BUDGET - IT BHMC</t>
  </si>
  <si>
    <t>THÔNG TIN PHẦN MỀM &amp; THIẾT BỊ</t>
  </si>
  <si>
    <t>BUDGET AURA CLUB + PMG</t>
  </si>
  <si>
    <t>Phòng ban liên quan</t>
  </si>
  <si>
    <t>Loại</t>
  </si>
  <si>
    <t>Số lượng</t>
  </si>
  <si>
    <t>Đơn vị</t>
  </si>
  <si>
    <t>Chi phí dự kiến (vnd)</t>
  </si>
  <si>
    <t>Thời hạn kích hoạt chi tiền</t>
  </si>
  <si>
    <t>Thời hạn hoàn thành</t>
  </si>
  <si>
    <t>Ghi Chú</t>
  </si>
  <si>
    <t>PHẦN MỀM QUẢN LÝ CÔNG VIỆC VÀ VẬN HÀNH HỆ THỐNG KINH DOANH</t>
  </si>
  <si>
    <t>Bảo trì phần mềm Newway ( tương đương 10% giá trị hợp đồng)</t>
  </si>
  <si>
    <t>IT/EPL/SALE &amp; MARKETING</t>
  </si>
  <si>
    <t>Software</t>
  </si>
  <si>
    <t>AURA</t>
  </si>
  <si>
    <t>Bảo trì &amp; bổ sung tính năng tích hợp hệ thống ( Tích hợp kiểm soát vé bể bơi , hội viên đi bơi của SF, quản lý nhân sự …)</t>
  </si>
  <si>
    <t>Tích hợp hệ thống Newway Loyalty quản lý thông tin khách hàng</t>
  </si>
  <si>
    <t>IT/SASE &amp; MARKETING</t>
  </si>
  <si>
    <t>Hệ thống tính điểm, trừ tiền giảm giá, chương trình khyến mã, quản lý thành viên</t>
  </si>
  <si>
    <t xml:space="preserve">Tích hợp quản lý ra vào bể bơi &amp; khu vực tầng 5 với hội viên Starfitness, </t>
  </si>
  <si>
    <t>IT/Fitness Team</t>
  </si>
  <si>
    <t>Tích hợp Module quản lý bể bơi trên Newway</t>
  </si>
  <si>
    <t>App vận hành cho ban quản lý</t>
  </si>
  <si>
    <t>IT/PMG</t>
  </si>
  <si>
    <t>Theo kế hoạch của PMG</t>
  </si>
  <si>
    <t>Phần mềm quản lý nhân sự</t>
  </si>
  <si>
    <t>IT/HR Team</t>
  </si>
  <si>
    <t>PMG/AURA</t>
  </si>
  <si>
    <t>Theo kế hoạch của BHMC dự kiến có 150 user tự chia tỷ lệ PMG và AURA</t>
  </si>
  <si>
    <t>ZALO mini app</t>
  </si>
  <si>
    <t>IT/Sale &amp; Marketing</t>
  </si>
  <si>
    <t>Theo kế hoạch S&amp;M trình EA</t>
  </si>
  <si>
    <t>Phần mềm CRM</t>
  </si>
  <si>
    <t>IT/SALE &amp; MARKETING</t>
  </si>
  <si>
    <t>Theo kế hoạch của AURA</t>
  </si>
  <si>
    <t xml:space="preserve">THIẾT BỊ MÁY TÍNH - MÁY VĂN PHÒNG </t>
  </si>
  <si>
    <t>Máy tính xách tay</t>
  </si>
  <si>
    <t>IT/EPL/Admin</t>
  </si>
  <si>
    <t>HCNS-TCKT</t>
  </si>
  <si>
    <t>Định biên mới. Tự chia tỷ lệ Aura và PMG</t>
  </si>
  <si>
    <t>Máy tính để bàn</t>
  </si>
  <si>
    <t>Nâng cấp hoặc thay mới</t>
  </si>
  <si>
    <t>Máy ảnh + túi chống ẩm</t>
  </si>
  <si>
    <t>IT/Admin/S&amp;M</t>
  </si>
  <si>
    <t>Team MKT chủ động hơn trong việc chụp ảnh các hoạt động dịch vụ cần update hình ảnh daily (tiệc, đồ ăn/uống theo ngày, khách tham gia spa/fitness…)
Tiết kiệm hơn các chi phí cho phần thuê outsource bên ngoài</t>
  </si>
  <si>
    <t>MÁY CHỦ , THIẾT BỊ TƯỜNG LỬA , THIẾT BỊ LƯU TRỮ BACKUP DỮ LIỆU ( chia Pmg/Aura)</t>
  </si>
  <si>
    <t>Switch Quang 10GB 24Port +  Module Quang / đồng 10GB</t>
  </si>
  <si>
    <t>IT/EPL</t>
  </si>
  <si>
    <t>Nâng cấp hạ tầng Switch quang cho hệ thống CCTV đồng thời dự phòng cho các switch quang bị lỗi có thể ảnh hưởng đến công tác vận hành</t>
  </si>
  <si>
    <t>Switch Cisco 9200L-24T-4X  riêng cho các Server</t>
  </si>
  <si>
    <t>trang bị nhằm chia tải cho switch core đang bị quá tải do cắm nhiều thiết bị và link hệ thống switch</t>
  </si>
  <si>
    <t>Thiết bị Storage backup NAS lưu trữ dữ liệu</t>
  </si>
  <si>
    <t>AURA+PMG</t>
  </si>
  <si>
    <t>Lưu trữ backup dữ liệu hệ thống máy chủ của Trung tâm dữ liệu đặt tại Aura. Chia tỷ lệ 50/50 cho AURA và PMG</t>
  </si>
  <si>
    <t>Ổ cứng cho Server Dell R440</t>
  </si>
  <si>
    <t>Nâng cấp Server để chạy dự phòng cho các máy chủ khác chia tỷ lệ 50/50 cho AURA và PMG</t>
  </si>
  <si>
    <t>SSL/Domain</t>
  </si>
  <si>
    <t>IT/Purchase</t>
  </si>
  <si>
    <t>subscription</t>
  </si>
  <si>
    <t>auraclub.vn,auraclub.com.vn,bhmc.vn,bhmc.com.vn</t>
  </si>
  <si>
    <t>License Office 365</t>
  </si>
  <si>
    <t>Mua theo năm, sử dụng cho các máy kế toán hoặc HOD</t>
  </si>
  <si>
    <t>Symantec Endpoint Protection, Subscription License with Support, 1-99 Devices, 1Y</t>
  </si>
  <si>
    <t>Phần mềm chống virus máy chủ &amp; máy trạm Renew hàng năm chia tỷ lệ 50% cho AURA và 50% cho PMG</t>
  </si>
  <si>
    <t>License Firewall Fortinet 100F</t>
  </si>
  <si>
    <t>Chia tỷ lệ 50/50 cho AURA và PMG</t>
  </si>
  <si>
    <t>CHI PHÍ PHÁT SINH SỬA CHỮA MÁY TÍNH - BỔ SUNG WIFI - KÉO DÂY MẠNG</t>
  </si>
  <si>
    <t>bổ sung wifi cho khu vực Celia aura</t>
  </si>
  <si>
    <t>IT / Kỹ thuật</t>
  </si>
  <si>
    <t>đảm bảo sóng phủ đầy phòng tiệc rộng</t>
  </si>
  <si>
    <t>Nâng cấp ổ cứng máy tính thiết kế và Marketing</t>
  </si>
  <si>
    <t>IT/Admin/EPL</t>
  </si>
  <si>
    <t>Thùng dây mạng cat6 + hạt mạng</t>
  </si>
  <si>
    <t>Phục vụ múc đích sửa chữa, di chuyển , thay đổi</t>
  </si>
  <si>
    <t>máy lỗi nguồn,ổ cứng, bàn phím, chuột, ram, main , màn hình , sạc …...., dây cable nguồn , dây cable tín hiệu HDMI,VGA, bộ chuyển đổi tín hiệu từ HDMI to VGA ….., vật tư phụ nâng cấp ,sửa chữa thiết bị , công cụ sửa chữa mạng tool dò, dây mạng, hạt mạng,</t>
  </si>
  <si>
    <t>dịch vụ</t>
  </si>
  <si>
    <t>Chi phí sửa chữa đột xuất dự trù trong 1 năm liên quan đến việc các thiết bị hỏng đột xuất. ( chia tỷ lệ 50% cho AURA và 50% cho PMG</t>
  </si>
  <si>
    <t>Total - Tổng giá trị</t>
  </si>
  <si>
    <t>1,6TỶ</t>
  </si>
  <si>
    <t>PMS</t>
  </si>
  <si>
    <t>Đơn vị: Bitexco Work Place</t>
  </si>
  <si>
    <t>Phòng: Phòng CNTT</t>
  </si>
  <si>
    <t>Ngân sách CNTT năm 2026 cho Bitexco WorkPlace</t>
  </si>
  <si>
    <t>No.</t>
  </si>
  <si>
    <t>Máy móc/Thiết bị đề nghị</t>
  </si>
  <si>
    <t>Ngân sách năm</t>
  </si>
  <si>
    <t>ĐVT</t>
  </si>
  <si>
    <t>Đơn giá (VNĐ)</t>
  </si>
  <si>
    <t>Thành tiền 
(VNĐ)</t>
  </si>
  <si>
    <t>VAT 
(10%)</t>
  </si>
  <si>
    <t>Thành tiền - Include VAT (VNĐ)</t>
  </si>
  <si>
    <t>Thời gian thực hiện</t>
  </si>
  <si>
    <t>Ghi chú</t>
  </si>
  <si>
    <t>Device License</t>
  </si>
  <si>
    <t>FortiGate 201E Firewall License</t>
  </si>
  <si>
    <t>General</t>
  </si>
  <si>
    <t>license</t>
  </si>
  <si>
    <t>01/2026</t>
  </si>
  <si>
    <t>Chi phí gia hạn License cho 1 năm, hết hạn ngày 01/2026</t>
  </si>
  <si>
    <t>SSD Server</t>
  </si>
  <si>
    <t xml:space="preserve">HPE 960GB SATA 6G Read Intensive SFF (2.5in) </t>
  </si>
  <si>
    <t>Office</t>
  </si>
  <si>
    <t>Cái</t>
  </si>
  <si>
    <t>02/2026</t>
  </si>
  <si>
    <t>SAN</t>
  </si>
  <si>
    <t>Hệ thống lưu trữ tập trung SAN HPE</t>
  </si>
  <si>
    <t>HT</t>
  </si>
  <si>
    <t>Core Switch</t>
  </si>
  <si>
    <t>HPE Aruba Networking CX 6300M 24-port 1GbE and 4-port SFP56 Core Switch</t>
  </si>
  <si>
    <t>Softwares License</t>
  </si>
  <si>
    <t>Symantec Endpoint Protection License</t>
  </si>
  <si>
    <t>06/2026</t>
  </si>
  <si>
    <t>Chi phí gia hạn License cho 1 năm, hết hạn vào 06//2026</t>
  </si>
  <si>
    <t>Phần mềm Zoom Pro License</t>
  </si>
  <si>
    <t>11/2026</t>
  </si>
  <si>
    <t>Chi phí gia hạn License cho 1 năm, hết hạn vào 11//2026</t>
  </si>
  <si>
    <t>Windows 11 Pro License</t>
  </si>
  <si>
    <t>- Nâng cấp cho máy tính CBNV</t>
  </si>
  <si>
    <t>Microsoft 365 personal (QQ2-00003) License</t>
  </si>
  <si>
    <t>ChatGPT Business cho cấp quản lý (gói 12 tháng).</t>
  </si>
  <si>
    <t>- Mua cho các vị trí cấp quản lý của các Phòng ban sử dụng khi chưa có Hệ thống AI tổng thể được đầu tư.</t>
  </si>
  <si>
    <t>Phần mềm AutoCAD - including specialized toolsets AD Commercial New Single-user ELD Annual Subscription- Thời gian sử dụng 1 năm- Hỗ trợ kỹ thuật, cập nhật 1 năm đầu miễn phí</t>
  </si>
  <si>
    <t>04/2026</t>
  </si>
  <si>
    <t>- Dự kiến mua Mua cho phòng DMD, Design và Kỹ thuật
- Các hảng này đã có 1 hãng gửi công văn y/c bản quyền đến Tập đoàn. Trong năm 2026 sẽ còn rà soát mạnh hơn nên cần có chi phí dự trù đầu tư.</t>
  </si>
  <si>
    <t>Phần mềm 3ds Max 2026 Commercial New Single-user ELD Annual Subscription- Thời gian sử dụng 1 năm- Hỗ trợ kỹ thuật, cập nhật 1 năm đầu miễn phí</t>
  </si>
  <si>
    <t>Phần mềm V-Ray Solo (named, annual)</t>
  </si>
  <si>
    <t>Phần mềm Photoshop for teams ALL Multiple Platforms Multi Asian Languages Subscription New 12 Months</t>
  </si>
  <si>
    <t>Phần mềm Illustrator for teams ALL Multiple Platforms Multi Asian Languages Subscription New 12 Months</t>
  </si>
  <si>
    <t>SAP system</t>
  </si>
  <si>
    <t>Chi phí bảo trì và quản lý cho Hệ thống SAP với Tập đoàn (HO)</t>
  </si>
  <si>
    <t>Gói</t>
  </si>
  <si>
    <t>12/2026</t>
  </si>
  <si>
    <t>- Hợp đồng dịch vụ giữa BWP và HO hết hạn vào 31/12/2025 
- Phí bảo trì: 6,200,000 * 12 user = 74,400,000 VNĐ/năm
- Phí quản lý 39,000,000 VNĐ /năm</t>
  </si>
  <si>
    <t xml:space="preserve">BFT Parking maintenance </t>
  </si>
  <si>
    <t>Hệ thống BFT Parking mới (VETC)</t>
  </si>
  <si>
    <t>Parking</t>
  </si>
  <si>
    <t>Tháng</t>
  </si>
  <si>
    <t>Hàng tháng</t>
  </si>
  <si>
    <r>
      <rPr>
        <b/>
        <sz val="12"/>
        <color theme="1"/>
        <rFont val="Times New Roman"/>
        <family val="1"/>
      </rPr>
      <t>12,410,000 VNĐ</t>
    </r>
    <r>
      <rPr>
        <sz val="12"/>
        <color theme="1"/>
        <rFont val="Times New Roman"/>
        <family val="1"/>
      </rPr>
      <t xml:space="preserve"> - Chi phí chia sẽ doanh thu 3.65% xe vãng lai theo tháng.</t>
    </r>
  </si>
  <si>
    <r>
      <rPr>
        <b/>
        <sz val="12"/>
        <color theme="1"/>
        <rFont val="Times New Roman"/>
        <family val="1"/>
      </rPr>
      <t>5,454,545 VNĐ</t>
    </r>
    <r>
      <rPr>
        <sz val="12"/>
        <color theme="1"/>
        <rFont val="Times New Roman"/>
        <family val="1"/>
      </rPr>
      <t xml:space="preserve"> - Chi phí quản lý (phần mềm) theo tháng.</t>
    </r>
  </si>
  <si>
    <t>POS Skydeck maintenance</t>
  </si>
  <si>
    <t>Hệ thống POS Skydeck mới (CMC)</t>
  </si>
  <si>
    <t>06 tháng</t>
  </si>
  <si>
    <t>Hợp đồng bảo trì ngay sau khi hết hạn bảo hành 12 tháng</t>
  </si>
  <si>
    <t>Internet Line</t>
  </si>
  <si>
    <t>Đường truyền Internet + IP tĩnh (Viettel)</t>
  </si>
  <si>
    <t>Năm</t>
  </si>
  <si>
    <t>Chi phí gia hạn HĐ năm 2026. Hợp đồng hết hạn ngày 01/04/2026</t>
  </si>
  <si>
    <t>IP Public (Viettel)</t>
  </si>
  <si>
    <t>Phí gia hạn hợp đồng 1 năm cho năm 2026. HĐ hết hạn vào 02/2026</t>
  </si>
  <si>
    <t>Đường truyền Internet FPT Super250 (SKYDECK)</t>
  </si>
  <si>
    <t>07/2026</t>
  </si>
  <si>
    <t>Chi phí gia hạn HĐ năm 2025. Hợp đồng hết hạn ngày 06/07/2026.</t>
  </si>
  <si>
    <t>IP Public (FPT)</t>
  </si>
  <si>
    <t>Chi phí gia hạn HĐ năm 2025. Hợp đồng hết hạn ngày 11/2026.</t>
  </si>
  <si>
    <t>MPLS Line</t>
  </si>
  <si>
    <t>Kênh truyền MPLS (FPT) - 4Mbps</t>
  </si>
  <si>
    <t>08/2026</t>
  </si>
  <si>
    <t>Chi phí gia hạn năm 2026. HĐ hết hạn vào 31/08/2026</t>
  </si>
  <si>
    <t>Màn hình cảm ứng</t>
  </si>
  <si>
    <t>Màn hình Touch Screen 55 inch (3D/360 - Skydeck)</t>
  </si>
  <si>
    <t xml:space="preserve">- Thay thế 1 màn hình đang xuống cấp không còn đáp ứng trong vận hành. </t>
  </si>
  <si>
    <t>Thiết bị văn phòng</t>
  </si>
  <si>
    <t>HP Pro tower 280</t>
  </si>
  <si>
    <t>Màn hình Dell E2225HM (21.5 inch - VA - FHD - 100Hz-5ms)</t>
  </si>
  <si>
    <t>Laptop Dell Latitude 3450</t>
  </si>
  <si>
    <t>HP Color LaserJet CP5225dn (CE742A)</t>
  </si>
  <si>
    <t>- Mua mới cho khối văn phòng</t>
  </si>
  <si>
    <t>Máy in mã vạch HPRT HT300</t>
  </si>
  <si>
    <t>- Thay thế máy Kế toán kho</t>
  </si>
  <si>
    <t>SSD 256GB LEXAR NS100</t>
  </si>
  <si>
    <t>- Sử dụng trình chiếu cho các sự kiện của Công ty</t>
  </si>
  <si>
    <t>Máy chiếu BenQ</t>
  </si>
  <si>
    <t xml:space="preserve">Màn chiếu điện 180 inch </t>
  </si>
  <si>
    <t>Amply, Loa + Bộ Micro không dây</t>
  </si>
  <si>
    <t>Bộ</t>
  </si>
  <si>
    <t>- Sử dụng cho sự kiện tại Công ty và Team Building</t>
  </si>
  <si>
    <t>Laptop cho Mr. Thế - HR</t>
  </si>
  <si>
    <t>- Laptop hiện tại đang yếu và thường xuyên lỗi. Cần thay thế máy cấu hình cao để thực hiện dự án AI cho HR.</t>
  </si>
  <si>
    <t>PMG (new)</t>
  </si>
  <si>
    <t>- Cấp cho PMG mới</t>
  </si>
  <si>
    <t>New Office (7F)</t>
  </si>
  <si>
    <t>Màn hình tương tác SAMSUNG 86 inch</t>
  </si>
  <si>
    <t>- Sử dụng cho Văn phòng mới 7F</t>
  </si>
  <si>
    <t>Hệ thống âm thanh cho Phòng họp (Loa âm trần, Amply, Mic…)</t>
  </si>
  <si>
    <t>Camera họp Online</t>
  </si>
  <si>
    <t>Access Point</t>
  </si>
  <si>
    <t>Máy in laser đen trắng HP LaserJet Pro 4003dw</t>
  </si>
  <si>
    <t>Check-in system</t>
  </si>
  <si>
    <t>Triển khai mới Hệ thống kiểm soát ra vào khu vực cho thuê Văn phòng của Tòa nhà BFT (Server, Softwares, Hardwares...).</t>
  </si>
  <si>
    <t>- 01/2026 (20%)
- 02/2026 (50%)
- 03/2026 (30%)</t>
  </si>
  <si>
    <t xml:space="preserve">- IT đang làm với các đơn vị để có giải pháp tối ưu 
</t>
  </si>
  <si>
    <t xml:space="preserve">Màn hình tương tác hướng dẫn, hỗ trợ cho khách (ứng dụng AI) </t>
  </si>
  <si>
    <t>- Hỗ trợ cho khách tìm kiếm các thông tin và dịch vụ của Tòa nhà.
- Hỗ trợ tìm kiếm các dịch vụ tiện ích xung quanh Tòa nhà nhằm tạo sự thích thú và trải nghiệm cao.</t>
  </si>
  <si>
    <t xml:space="preserve">- 04/2026 (20%)
- 05/2026 (50%)
- 06/2026 (30%)
</t>
  </si>
  <si>
    <t xml:space="preserve">- IT đang làm với các đơn vị để có giải pháp tối ưu </t>
  </si>
  <si>
    <t>Hệ thống Quản lý Nhân sự (HRM)</t>
  </si>
  <si>
    <t>Hệ thống quản lý Nhân sự cho Tập đoàn (30 Công ty thành viên)</t>
  </si>
  <si>
    <r>
      <t>- Triển khai chung với tất cả các nhóm ngành của Tập đoàn. Phòng CNTT đã làm việc với các NCC và đã có bảng tổng hợp ngân sách.</t>
    </r>
    <r>
      <rPr>
        <sz val="12"/>
        <color rgb="FFFF0000"/>
        <rFont val="Times New Roman"/>
        <family val="1"/>
      </rPr>
      <t xml:space="preserve"> 
- </t>
    </r>
    <r>
      <rPr>
        <b/>
        <sz val="12"/>
        <color rgb="FFFF0000"/>
        <rFont val="Times New Roman"/>
        <family val="1"/>
      </rPr>
      <t>Riêng ngân sách BFT được phân bổ là ~290,000,000VNĐ</t>
    </r>
  </si>
  <si>
    <t xml:space="preserve">Phần cứng: Server vật lý
</t>
  </si>
  <si>
    <t>Hệ thống Camera AI giám sát Tòa nhà BFT</t>
  </si>
  <si>
    <t xml:space="preserve">Hệ thống Camera AI giám sát an ninh Tòa nhà. Giám sát khách hàng và cảnh báo cháy, cảnh báo rò rỉ nước, điện </t>
  </si>
  <si>
    <t>- Thay thế cho Hệ thống Camera Analog cũ tại Tòa nhà.
 - IT và Kỹ thuật sẽ làm việc trực tiếp với iTEL và các nhà thầu đưa ra giải pháp và chi phí thực tế.</t>
  </si>
  <si>
    <t>Hệ thống Tổng đài tập trung</t>
  </si>
  <si>
    <t xml:space="preserve">Hệ thống Tổng đài IP tập trung cho tập đoàn (tất cả Công ty thành viên trong Tập đoàn) </t>
  </si>
  <si>
    <t>03/2026</t>
  </si>
  <si>
    <t xml:space="preserve">- Triển khai thay thế Hệ thống Tổng đài Analog của Tòa nhà.
- Mở rộng triển khai cho tất cả Công ty trong Tập đoàn  </t>
  </si>
  <si>
    <t xml:space="preserve">Hệ thống kế toán mới </t>
  </si>
  <si>
    <t>Hệ thống Kế toán Bravo</t>
  </si>
  <si>
    <t>- Tập đoàn đang làm việc với Bravo để thay thế cho Hệ thống SAP trong năm 2026. Ngân sách chung sẽ phân bổ cho từng đơn vị.</t>
  </si>
  <si>
    <t>Hệ thống quản lý vận hành Tòa nhà PMS</t>
  </si>
  <si>
    <t>Phần mềm: Hệ thống quản lý Tòa nhà PMS: Bất động sản, Thủy điện, Trường học…không giới hạn số lượng Dự án (cho cả Tập đoàn)</t>
  </si>
  <si>
    <t>05/2026</t>
  </si>
  <si>
    <t>-  Tập trung data tại hội sở. Triển khai từng Dự án theo chi phí manday hoặc đào tạo key person cho IT/vận hành tự cấu hình động theo module/vai trò… giống quản lý ERP tập trung.</t>
  </si>
  <si>
    <t>Hệ thống phát kinh tư động cho các Đạo tràng</t>
  </si>
  <si>
    <t xml:space="preserve">Hệ thống tụng/phát kinh tập trung đồng bộ cho tất cả các Đạo tràng tại các Dự án. </t>
  </si>
  <si>
    <t>- Thay thế cho việc phát kinh đơn lẻ bằng máy phát nhạc không đồng bộ tại các Đạo tràng như hiện nay.</t>
  </si>
  <si>
    <t>Hệ thống Quản lý PMG từ xa cho CĐT</t>
  </si>
  <si>
    <t>Hệ thống quản lý vận hành PMG (Savills) từ xa cho Chủ đầu tư. Tích hợp các giải pháp DMS quản lý tập trung Dữ liệu cho các Hệ thống.</t>
  </si>
  <si>
    <t>- Đang làm việc với FPT, Votiva đưa ra giải pháp và ngân sách</t>
  </si>
  <si>
    <t>Hệ thống Hợp đồng/văn bản điện tử</t>
  </si>
  <si>
    <t>Triển khai Hệ thống Hợp đồng/văn bản điện tử cho Tập đoàn.</t>
  </si>
  <si>
    <t>- Đã triển khai xong cho các Công ty: BWP, Garden, Bitexcoland
- Tiếp tục triển khai cho tất cả các Công ty trong Tập đoàn.
- Xây dụng giải pháp lưu trữ Dữ liệu tập trung onsite cho toàn hệ thống.</t>
  </si>
  <si>
    <t>Tổng cộng (VNĐ):</t>
  </si>
  <si>
    <t xml:space="preserve">Người lập ngân sách </t>
  </si>
  <si>
    <t>Lâm Thanh Hoàng</t>
  </si>
  <si>
    <t>CHI TIẾT CÁC HẠNG MỤC TRONG NGÂN SÁCH IT 2026</t>
  </si>
  <si>
    <t>Diễn giải</t>
  </si>
  <si>
    <t xml:space="preserve">số lượng dự kiến </t>
  </si>
  <si>
    <t>Thành Tiền</t>
  </si>
  <si>
    <t>NOTE 2026</t>
  </si>
  <si>
    <t>Dự kiến hoàn thành</t>
  </si>
  <si>
    <t>Số Năm Phân Bổ</t>
  </si>
  <si>
    <t>CP PB/năm</t>
  </si>
  <si>
    <t>CP PB/tháng</t>
  </si>
  <si>
    <t>THÁNG 1</t>
  </si>
  <si>
    <t>THÁNG 2</t>
  </si>
  <si>
    <t>THÁNG 3</t>
  </si>
  <si>
    <t>THÁNG 4</t>
  </si>
  <si>
    <t>THÁNG 5</t>
  </si>
  <si>
    <t>THÁNG 6</t>
  </si>
  <si>
    <t>THÁNG 7</t>
  </si>
  <si>
    <t>THÁNG 8</t>
  </si>
  <si>
    <t>THÁNG 9</t>
  </si>
  <si>
    <t>THÁNG 10</t>
  </si>
  <si>
    <t>THÁNG 11</t>
  </si>
  <si>
    <t>THÁNG 12</t>
  </si>
  <si>
    <t>TOTAL/năm</t>
  </si>
  <si>
    <t>A. TTTM The Garden</t>
  </si>
  <si>
    <t>Máy chấm công Garden + Adapter máy</t>
  </si>
  <si>
    <t xml:space="preserve">Dự phòng </t>
  </si>
  <si>
    <t>Tháng 11</t>
  </si>
  <si>
    <t>Mua máy tính mới cho CBNV: Ms Thu thiết kế, Thu Admin, 3 nhân sự mới dự phòng, 7 màn hình PKT + 3 CRM</t>
  </si>
  <si>
    <t>Kho Senix còn máy tính, ko có màn hình</t>
  </si>
  <si>
    <t>Máy tính Mrs Thu Thiết kế</t>
  </si>
  <si>
    <t>Xuất từ kho Senix</t>
  </si>
  <si>
    <t>Tháng 1</t>
  </si>
  <si>
    <t>Thay 01 PC cho Mrs Thu Admin</t>
  </si>
  <si>
    <t>Tháng 2</t>
  </si>
  <si>
    <t>Máy xách tay mới nhân sự mới ( 03 người )</t>
  </si>
  <si>
    <t>Tháng 12</t>
  </si>
  <si>
    <t>Mua 10 màn hình máy tính 23inch phòng kế toán + CRM</t>
  </si>
  <si>
    <t>7 kế toán + 03 CRM</t>
  </si>
  <si>
    <t>Nâng cấp RAM + SSD cho người dùng văn phòng, 10 UPS cho PKT</t>
  </si>
  <si>
    <t xml:space="preserve">Giai đoạn 1 năm 2025 đã update RAM cho 10 người; UPS của phòng KT đã hỏng, cần đc thay để tránh mất dữ liệu khi sự cố </t>
  </si>
  <si>
    <t>Tháng 3</t>
  </si>
  <si>
    <t>Thay thế UPS cho các máy kế toán</t>
  </si>
  <si>
    <t>Các UPS cũ đã hỏng hết lên các PC của kế toán cần dc trang bị tránh mất nguồn đột ngột hỏng dữ liệu và files</t>
  </si>
  <si>
    <t>Tháng 5</t>
  </si>
  <si>
    <t>Dự phòng máy in (Văn Phòng + Kiểm Phẩm)</t>
  </si>
  <si>
    <t>Sửa chữa, thay thế: dây mạng, cáp, chuột, pin, bàn phím…</t>
  </si>
  <si>
    <t>Thay thế khi thực tế phát sinh</t>
  </si>
  <si>
    <t>Dự phòng WIFi Garden + cung cấp WIFI cho hệ thống thu ngân bên ngoài TTTM</t>
  </si>
  <si>
    <t>Lắp đặt bổ sung cho thu ngân phục vụ khách hàng chuyển khoản QR. Bộ phát sóng chuyển từ Senix</t>
  </si>
  <si>
    <t>Cước internet (FTTH CMC, FPT, WAN)</t>
  </si>
  <si>
    <t>Gia hạn hàng năm (WAN từ T6; Internet từ T5, CMC đến 4/3/27)</t>
  </si>
  <si>
    <t>Cước WAN đ.th tổng đài T7/25-T5/26</t>
  </si>
  <si>
    <t>Gia hạn hàng năm</t>
  </si>
  <si>
    <t>Tháng 6</t>
  </si>
  <si>
    <t>CMC/Cước FTTH (05/10/25- 04/03/27)</t>
  </si>
  <si>
    <t>Đã gia hạn từ 2025</t>
  </si>
  <si>
    <t>FPT/Cước thuê kênh internet 20/4/25-19/5/26</t>
  </si>
  <si>
    <t>CP phần mềm diệt Virus (License Symantec)</t>
  </si>
  <si>
    <t>Mua 01 bộ Zoom meetup + pc mini + mic đa hướng (Phục vụ họp trực tuyến); gia hạn zoom/tên miền</t>
  </si>
  <si>
    <t>Mua 01 bộ Zoom meetup + pc mini + mic đa hướng (Phục vụ họp trực tuyến)</t>
  </si>
  <si>
    <t>Mua mới</t>
  </si>
  <si>
    <t>CP gia hạn Zoom</t>
  </si>
  <si>
    <t xml:space="preserve">CP gia hạn tên miền </t>
  </si>
  <si>
    <t>Đã gia hạn 5 năm từ 2024</t>
  </si>
  <si>
    <t>HỆ THỐNG MÁY CHỦ</t>
  </si>
  <si>
    <t>Thiết bị tường lửa firewall fortinet (để chia tải cho server đang quá tải)</t>
  </si>
  <si>
    <t>Hiện tại đang có 02 Firewall 100D và 100E dùng cho toàn hệ thống.
Thiết bị đã đưa vào sử dụng được trên 7 năm vì thế năm nay thay thế 01 cái</t>
  </si>
  <si>
    <t xml:space="preserve"> License cho fire wall 100E</t>
  </si>
  <si>
    <t>Bản quyền hết hạn cần dc gia hạn</t>
  </si>
  <si>
    <t xml:space="preserve">Nâng cấp RAM + SAS cho máy chủ có dự phòng </t>
  </si>
  <si>
    <t>Bổ xung tài nguyên hàng năm cho Server</t>
  </si>
  <si>
    <t>Switch 2960 24 port của hệ thống Garden (Dự phòng lỗi hỏng xảy ra, nếu lỗi hỏng sẽ nâng cấp SW )</t>
  </si>
  <si>
    <t>Nâng cấp Card mạng Quang + Modul quang 4 máy chủ, card khởi động thay thế máy chủ 3650 M4</t>
  </si>
  <si>
    <t>4+1</t>
  </si>
  <si>
    <t>5000000 + 21300000</t>
  </si>
  <si>
    <t>Tăng tốc độ truyền dữ liệu data</t>
  </si>
  <si>
    <t>Tháng 1+7</t>
  </si>
  <si>
    <t>Nâng cấp Card HBA + Modul  kết nối với Store IBM</t>
  </si>
  <si>
    <t>Kết nối với hệ thống IBM Flast System được trang bị năm 2025</t>
  </si>
  <si>
    <t>Tháng 4</t>
  </si>
  <si>
    <t>Switch 28 port của hệ thống Garden quang</t>
  </si>
  <si>
    <t>Dự phòng thay thế 04 Sata 4TB NAS Backup</t>
  </si>
  <si>
    <t>Các phần mềm - đầu tư mới 2026</t>
  </si>
  <si>
    <t>Gói thay mới hệ thống phần mềm POS</t>
  </si>
  <si>
    <t>Thuê nhà thầu Audit chech an toàn an ninh mạng cho toàn Garden</t>
  </si>
  <si>
    <t>tháng 3</t>
  </si>
  <si>
    <t>BUDGET 2026 - IT and Digital Marketing</t>
  </si>
  <si>
    <t>BUDGET 2026 - IT DEP and Digital Department</t>
  </si>
  <si>
    <t>Wìfi Marketing: AWING ( 20 AP )</t>
  </si>
  <si>
    <t xml:space="preserve">Email Marketing: Flodesk </t>
  </si>
  <si>
    <t>AI Tool: ChatGPT, Gemini, N8N, KlingAI, Google VEO 3, hailuoai</t>
  </si>
  <si>
    <t xml:space="preserve">Nâng cấp websites The Garden </t>
  </si>
  <si>
    <t>Star Fitness</t>
  </si>
  <si>
    <t xml:space="preserve">Tháng </t>
  </si>
  <si>
    <t>03 Bộ PC + Màn hình cho Lễ tân SF</t>
  </si>
  <si>
    <t>Điện thoại cho khu Locker Nam + Nữ</t>
  </si>
  <si>
    <t>Xây dựng Web mới cho SF</t>
  </si>
  <si>
    <t>CP mua mới SSL cho Web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</si>
</sst>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_);_(* \(#,##0\);_(* &quot;-&quot;??_);_(@_)"/>
    <numFmt numFmtId="165" formatCode="0.000"/>
    <numFmt numFmtId="166" formatCode="_(* #,##0.00_);_(* \(#,##0.00\);_(* &quot;-&quot;_);_(@_)"/>
    <numFmt numFmtId="167" formatCode="##.##%"/>
    <numFmt numFmtId="168" formatCode="[$-409]mmm\-yy;@"/>
    <numFmt numFmtId="169" formatCode="[$-1010000]d/m/yyyy;@"/>
    <numFmt numFmtId="170" formatCode="_-* #,##0.00_-;\-* #,##0.00_-;_-* &quot;-&quot;??_-;_-@_-"/>
    <numFmt numFmtId="171" formatCode="_-* #,##0_-;\-* #,##0_-;_-* &quot;-&quot;??_-;_-@_-"/>
    <numFmt numFmtId="172" formatCode="d/m;@"/>
    <numFmt numFmtId="173" formatCode="dd\ mmm\ yyyy"/>
  </numFmts>
  <fonts count="79">
    <font>
      <sz val="11"/>
      <color theme="1"/>
      <name val="Calibri"/>
      <scheme val="minor"/>
    </font>
    <font>
      <sz val="12"/>
      <color theme="1"/>
      <name val="Calibri"/>
      <family val="2"/>
      <scheme val="minor"/>
    </font>
    <font>
      <sz val="12"/>
      <color theme="1"/>
      <name val="Calibri"/>
      <family val="2"/>
      <scheme val="minor"/>
    </font>
    <font>
      <b/>
      <sz val="11"/>
      <color theme="1"/>
      <name val="Times New Roman"/>
      <family val="1"/>
    </font>
    <font>
      <sz val="11"/>
      <color theme="1"/>
      <name val="Calibri"/>
      <family val="2"/>
    </font>
    <font>
      <sz val="11"/>
      <color theme="1"/>
      <name val="Times New Roman"/>
      <family val="1"/>
    </font>
    <font>
      <i/>
      <sz val="11"/>
      <color theme="1"/>
      <name val="Times New Roman"/>
      <family val="1"/>
    </font>
    <font>
      <b/>
      <sz val="11"/>
      <color theme="1"/>
      <name val="Calibri"/>
      <family val="2"/>
    </font>
    <font>
      <sz val="12"/>
      <color theme="1"/>
      <name val="Times New Roman"/>
      <family val="1"/>
    </font>
    <font>
      <b/>
      <sz val="12"/>
      <color theme="1"/>
      <name val="Times New Roman"/>
      <family val="1"/>
    </font>
    <font>
      <sz val="11"/>
      <color rgb="FF000000"/>
      <name val="&quot;Times New Roman&quot;"/>
    </font>
    <font>
      <sz val="12"/>
      <color rgb="FF000000"/>
      <name val="&quot;Times New Roman&quot;"/>
    </font>
    <font>
      <b/>
      <sz val="12"/>
      <color rgb="FF000000"/>
      <name val="Times New Roman"/>
      <family val="1"/>
    </font>
    <font>
      <sz val="12"/>
      <color rgb="FF000000"/>
      <name val="Times New Roman"/>
      <family val="1"/>
    </font>
    <font>
      <sz val="11"/>
      <color rgb="FF000000"/>
      <name val="Times New Roman"/>
      <family val="1"/>
    </font>
    <font>
      <sz val="11"/>
      <name val="Calibri"/>
      <family val="2"/>
    </font>
    <font>
      <b/>
      <sz val="11"/>
      <color rgb="FF000000"/>
      <name val="Times New Roman"/>
      <family val="1"/>
    </font>
    <font>
      <i/>
      <sz val="12"/>
      <color theme="1"/>
      <name val="Times New Roman"/>
      <family val="1"/>
    </font>
    <font>
      <sz val="11"/>
      <color theme="1"/>
      <name val="Calibri"/>
      <family val="2"/>
      <scheme val="minor"/>
    </font>
    <font>
      <b/>
      <sz val="12"/>
      <color theme="1"/>
      <name val="Calibri"/>
      <family val="2"/>
      <scheme val="minor"/>
    </font>
    <font>
      <b/>
      <sz val="11"/>
      <color theme="1"/>
      <name val="Calibri"/>
      <family val="2"/>
      <scheme val="minor"/>
    </font>
    <font>
      <b/>
      <i/>
      <sz val="11"/>
      <color theme="1"/>
      <name val="Calibri"/>
      <family val="2"/>
      <scheme val="minor"/>
    </font>
    <font>
      <sz val="12"/>
      <name val="Times New Roman"/>
      <family val="1"/>
    </font>
    <font>
      <b/>
      <sz val="14"/>
      <color theme="1"/>
      <name val="Times New Roman"/>
      <family val="1"/>
    </font>
    <font>
      <sz val="11"/>
      <color theme="1"/>
      <name val="Times New Roman"/>
      <family val="2"/>
    </font>
    <font>
      <sz val="12"/>
      <color theme="1"/>
      <name val="Times New Roman"/>
      <family val="2"/>
    </font>
    <font>
      <sz val="12"/>
      <color rgb="FFFF0000"/>
      <name val="Times New Roman"/>
      <family val="1"/>
    </font>
    <font>
      <b/>
      <sz val="12"/>
      <color rgb="FFFF0000"/>
      <name val="Times New Roman"/>
      <family val="1"/>
    </font>
    <font>
      <b/>
      <sz val="18"/>
      <color theme="1"/>
      <name val="Calibri"/>
      <family val="2"/>
      <scheme val="minor"/>
    </font>
    <font>
      <b/>
      <i/>
      <sz val="12"/>
      <color theme="1"/>
      <name val="Calibri"/>
      <family val="2"/>
      <scheme val="minor"/>
    </font>
    <font>
      <i/>
      <sz val="12"/>
      <color theme="1"/>
      <name val="Calibri"/>
      <family val="2"/>
      <scheme val="minor"/>
    </font>
    <font>
      <b/>
      <sz val="14"/>
      <color rgb="FF0000FF"/>
      <name val="Calibri"/>
      <family val="2"/>
    </font>
    <font>
      <b/>
      <sz val="11"/>
      <name val="Calibri"/>
      <family val="2"/>
    </font>
    <font>
      <i/>
      <sz val="11"/>
      <name val="Calibri"/>
      <family val="2"/>
    </font>
    <font>
      <b/>
      <sz val="11"/>
      <color rgb="FFFFFFFF"/>
      <name val="Calibri"/>
      <family val="2"/>
    </font>
    <font>
      <b/>
      <sz val="11"/>
      <color rgb="FFFF0000"/>
      <name val="Calibri"/>
      <family val="2"/>
    </font>
    <font>
      <sz val="10"/>
      <name val="Times New Roman"/>
      <family val="1"/>
    </font>
    <font>
      <sz val="10"/>
      <color theme="1"/>
      <name val="VnBravo Times"/>
      <family val="2"/>
    </font>
    <font>
      <b/>
      <u val="singleAccounting"/>
      <sz val="14"/>
      <color rgb="FFFF0000"/>
      <name val="Times New Roman"/>
      <family val="1"/>
    </font>
    <font>
      <b/>
      <sz val="10"/>
      <name val="Times New Roman"/>
      <family val="1"/>
    </font>
    <font>
      <b/>
      <sz val="11"/>
      <name val="Times New Roman"/>
      <family val="1"/>
    </font>
    <font>
      <sz val="10"/>
      <name val="Arial"/>
      <family val="2"/>
    </font>
    <font>
      <b/>
      <sz val="11"/>
      <color rgb="FFFF0000"/>
      <name val="Times New Roman"/>
      <family val="1"/>
    </font>
    <font>
      <sz val="11"/>
      <name val="Times New Roman"/>
      <family val="1"/>
    </font>
    <font>
      <sz val="11"/>
      <color rgb="FFFF0000"/>
      <name val="Times New Roman"/>
      <family val="1"/>
    </font>
    <font>
      <b/>
      <u val="singleAccounting"/>
      <sz val="11"/>
      <color rgb="FFFF0000"/>
      <name val="Times New Roman"/>
      <family val="1"/>
    </font>
    <font>
      <sz val="9"/>
      <color indexed="81"/>
      <name val="Tahoma"/>
      <family val="2"/>
    </font>
    <font>
      <b/>
      <u/>
      <sz val="11"/>
      <name val="Times New Roman"/>
      <family val="1"/>
    </font>
    <font>
      <sz val="10"/>
      <color rgb="FFFF0000"/>
      <name val="Times New Roman"/>
      <family val="1"/>
    </font>
    <font>
      <b/>
      <sz val="10"/>
      <color rgb="FFFF0000"/>
      <name val="Times New Roman"/>
      <family val="1"/>
    </font>
    <font>
      <i/>
      <u/>
      <sz val="11"/>
      <color rgb="FFFF0000"/>
      <name val="Times New Roman"/>
      <family val="1"/>
    </font>
    <font>
      <i/>
      <u/>
      <sz val="10"/>
      <color rgb="FFFF0000"/>
      <name val="Times New Roman"/>
      <family val="1"/>
    </font>
    <font>
      <b/>
      <i/>
      <u/>
      <sz val="11"/>
      <color rgb="FFFF0000"/>
      <name val="Times New Roman"/>
      <family val="1"/>
    </font>
    <font>
      <i/>
      <u/>
      <sz val="11"/>
      <name val="Times New Roman"/>
      <family val="1"/>
    </font>
    <font>
      <i/>
      <u/>
      <sz val="10"/>
      <name val="Times New Roman"/>
      <family val="1"/>
    </font>
    <font>
      <b/>
      <i/>
      <u/>
      <sz val="11"/>
      <name val="Times New Roman"/>
      <family val="1"/>
    </font>
    <font>
      <sz val="11"/>
      <color theme="4"/>
      <name val="Times New Roman"/>
      <family val="1"/>
    </font>
    <font>
      <b/>
      <u val="singleAccounting"/>
      <sz val="12"/>
      <name val="Times New Roman"/>
      <family val="1"/>
    </font>
    <font>
      <b/>
      <u/>
      <sz val="11"/>
      <color theme="8"/>
      <name val="Times New Roman"/>
      <family val="1"/>
    </font>
    <font>
      <sz val="11"/>
      <color theme="8"/>
      <name val="Times New Roman"/>
      <family val="1"/>
    </font>
    <font>
      <sz val="10"/>
      <color theme="8"/>
      <name val="Times New Roman"/>
      <family val="1"/>
    </font>
    <font>
      <b/>
      <sz val="11"/>
      <color theme="8"/>
      <name val="Times New Roman"/>
      <family val="1"/>
    </font>
    <font>
      <b/>
      <sz val="9"/>
      <color indexed="81"/>
      <name val="Tahoma"/>
      <family val="2"/>
    </font>
    <font>
      <b/>
      <sz val="16"/>
      <color rgb="FFFFFFFF"/>
      <name val="Calibri"/>
      <family val="2"/>
    </font>
    <font>
      <b/>
      <sz val="11"/>
      <color rgb="FF323232"/>
      <name val="Calibri"/>
      <family val="2"/>
    </font>
    <font>
      <sz val="11"/>
      <color rgb="FF20A698"/>
      <name val="Calibri"/>
      <family val="2"/>
    </font>
    <font>
      <sz val="11"/>
      <color rgb="FF247376"/>
      <name val="Calibri"/>
      <family val="2"/>
    </font>
    <font>
      <sz val="11"/>
      <color rgb="FF323232"/>
      <name val="Calibri"/>
      <family val="2"/>
    </font>
    <font>
      <b/>
      <sz val="11"/>
      <color rgb="FF434343"/>
      <name val="Calibri"/>
      <family val="2"/>
    </font>
    <font>
      <sz val="11"/>
      <color rgb="FF434343"/>
      <name val="Calibri"/>
      <family val="2"/>
    </font>
    <font>
      <sz val="11"/>
      <color rgb="FF000000"/>
      <name val="Aptos Narrow"/>
    </font>
    <font>
      <b/>
      <sz val="11"/>
      <color rgb="FF000000"/>
      <name val="Aptos Narrow"/>
    </font>
    <font>
      <sz val="11"/>
      <color indexed="8"/>
      <name val="Calibri"/>
      <family val="2"/>
      <scheme val="minor"/>
    </font>
    <font>
      <b/>
      <sz val="11"/>
      <color indexed="8"/>
      <name val="Calibri"/>
      <family val="2"/>
      <scheme val="minor"/>
    </font>
    <font>
      <b/>
      <sz val="12"/>
      <color indexed="8"/>
      <name val="Calibri"/>
      <family val="2"/>
      <scheme val="minor"/>
    </font>
    <font>
      <b/>
      <sz val="30"/>
      <color rgb="FFFFFFFF"/>
      <name val="Calibri (Body)"/>
    </font>
    <font>
      <sz val="30"/>
      <color rgb="FFFFFFFF"/>
      <name val="Calibri (Body)"/>
    </font>
    <font>
      <b/>
      <sz val="30"/>
      <name val="Calibri (Body)"/>
    </font>
    <font>
      <sz val="30"/>
      <color theme="1"/>
      <name val="Calibri (Body)"/>
    </font>
  </fonts>
  <fills count="24">
    <fill>
      <patternFill patternType="none"/>
    </fill>
    <fill>
      <patternFill patternType="gray125"/>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rgb="FF4472C4"/>
        <bgColor rgb="FF4472C4"/>
      </patternFill>
    </fill>
    <fill>
      <patternFill patternType="solid">
        <fgColor theme="0"/>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FF"/>
        <bgColor rgb="FF000000"/>
      </patternFill>
    </fill>
    <fill>
      <patternFill patternType="solid">
        <fgColor theme="2" tint="-0.749992370372631"/>
        <bgColor indexed="64"/>
      </patternFill>
    </fill>
    <fill>
      <patternFill patternType="solid">
        <fgColor rgb="FF90E5E6"/>
      </patternFill>
    </fill>
    <fill>
      <patternFill patternType="solid">
        <fgColor rgb="FF393939"/>
        <bgColor rgb="FF000000"/>
      </patternFill>
    </fill>
    <fill>
      <patternFill patternType="solid">
        <fgColor rgb="FFEDECE5"/>
      </patternFill>
    </fill>
    <fill>
      <patternFill patternType="solid">
        <fgColor theme="9" tint="0.59999389629810485"/>
        <bgColor indexed="64"/>
      </patternFill>
    </fill>
  </fills>
  <borders count="7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1" tint="0.499984740745262"/>
      </right>
      <top/>
      <bottom/>
      <diagonal/>
    </border>
    <border>
      <left style="thin">
        <color theme="1" tint="0.499984740745262"/>
      </left>
      <right/>
      <top/>
      <bottom/>
      <diagonal/>
    </border>
    <border>
      <left style="thin">
        <color rgb="FF323232"/>
      </left>
      <right style="thin">
        <color rgb="FFEDECE5"/>
      </right>
      <top style="thin">
        <color rgb="FFEDECE5"/>
      </top>
      <bottom style="thin">
        <color rgb="FFEDECE5"/>
      </bottom>
      <diagonal/>
    </border>
    <border>
      <left style="thin">
        <color rgb="FF323232"/>
      </left>
      <right/>
      <top style="thin">
        <color rgb="FFEDECE5"/>
      </top>
      <bottom style="thin">
        <color rgb="FFEDECE5"/>
      </bottom>
      <diagonal/>
    </border>
    <border>
      <left style="thin">
        <color theme="1" tint="0.499984740745262"/>
      </left>
      <right style="thin">
        <color rgb="FFEDECE5"/>
      </right>
      <top style="thin">
        <color rgb="FFEDECE5"/>
      </top>
      <bottom style="thin">
        <color rgb="FFEDECE5"/>
      </bottom>
      <diagonal/>
    </border>
    <border>
      <left style="thin">
        <color rgb="FF323232"/>
      </left>
      <right style="thin">
        <color theme="1" tint="0.499984740745262"/>
      </right>
      <top style="thin">
        <color rgb="FFEDECE5"/>
      </top>
      <bottom style="thin">
        <color rgb="FFEDECE5"/>
      </bottom>
      <diagonal/>
    </border>
    <border>
      <left/>
      <right style="thin">
        <color rgb="FFEDECE5"/>
      </right>
      <top style="thin">
        <color rgb="FFEDECE5"/>
      </top>
      <bottom style="thin">
        <color rgb="FFEDECE5"/>
      </bottom>
      <diagonal/>
    </border>
    <border>
      <left style="thin">
        <color theme="1" tint="0.499984740745262"/>
      </left>
      <right/>
      <top style="thin">
        <color rgb="FFEDECE5"/>
      </top>
      <bottom style="thin">
        <color rgb="FFFFFFFF"/>
      </bottom>
      <diagonal/>
    </border>
    <border>
      <left/>
      <right/>
      <top style="thin">
        <color rgb="FFEDECE5"/>
      </top>
      <bottom style="thin">
        <color rgb="FFFFFFFF"/>
      </bottom>
      <diagonal/>
    </border>
    <border>
      <left/>
      <right style="thin">
        <color theme="1" tint="0.499984740745262"/>
      </right>
      <top style="thin">
        <color rgb="FFEDECE5"/>
      </top>
      <bottom style="thin">
        <color rgb="FFFFFFFF"/>
      </bottom>
      <diagonal/>
    </border>
    <border>
      <left style="thin">
        <color rgb="FF808080"/>
      </left>
      <right/>
      <top style="thin">
        <color rgb="FFEDECE5"/>
      </top>
      <bottom style="thin">
        <color rgb="FFFFFFFF"/>
      </bottom>
      <diagonal/>
    </border>
    <border>
      <left style="thin">
        <color rgb="FFEDECE5"/>
      </left>
      <right style="thin">
        <color indexed="9"/>
      </right>
      <top style="thin">
        <color rgb="FFEDECE5"/>
      </top>
      <bottom style="thin">
        <color rgb="FFEDECE5"/>
      </bottom>
      <diagonal/>
    </border>
    <border>
      <left style="thin">
        <color indexed="9"/>
      </left>
      <right style="thin">
        <color indexed="9"/>
      </right>
      <top style="thin">
        <color rgb="FFEDECE5"/>
      </top>
      <bottom style="thin">
        <color rgb="FFEDECE5"/>
      </bottom>
      <diagonal/>
    </border>
    <border>
      <left style="thin">
        <color rgb="FF323232"/>
      </left>
      <right/>
      <top style="thin">
        <color rgb="FFEDECE5"/>
      </top>
      <bottom/>
      <diagonal/>
    </border>
    <border>
      <left/>
      <right/>
      <top style="thin">
        <color rgb="FFEDECE5"/>
      </top>
      <bottom style="thin">
        <color rgb="FFEDECE5"/>
      </bottom>
      <diagonal/>
    </border>
    <border>
      <left/>
      <right style="thin">
        <color rgb="FF323232"/>
      </right>
      <top style="thin">
        <color rgb="FFEDECE5"/>
      </top>
      <bottom style="thin">
        <color rgb="FFEDECE5"/>
      </bottom>
      <diagonal/>
    </border>
    <border>
      <left style="dotted">
        <color rgb="FF000000"/>
      </left>
      <right style="dotted">
        <color rgb="FF000000"/>
      </right>
      <top style="dotted">
        <color rgb="FF000000"/>
      </top>
      <bottom style="dotted">
        <color rgb="FF000000"/>
      </bottom>
      <diagonal/>
    </border>
    <border>
      <left style="thin">
        <color rgb="FFEDECE5"/>
      </left>
      <right style="thin">
        <color rgb="FFEDECE5"/>
      </right>
      <top style="thin">
        <color rgb="FFEDECE5"/>
      </top>
      <bottom style="thin">
        <color rgb="FFEDECE5"/>
      </bottom>
      <diagonal/>
    </border>
    <border>
      <left style="thin">
        <color rgb="FFEDECE5"/>
      </left>
      <right style="thin">
        <color rgb="FF323232"/>
      </right>
      <top style="thin">
        <color rgb="FFEDECE5"/>
      </top>
      <bottom style="thin">
        <color rgb="FFEDECE5"/>
      </bottom>
      <diagonal/>
    </border>
    <border>
      <left style="thin">
        <color rgb="FFEDECE5"/>
      </left>
      <right/>
      <top style="thin">
        <color rgb="FFEDECE5"/>
      </top>
      <bottom style="thin">
        <color rgb="FFEDECE5"/>
      </bottom>
      <diagonal/>
    </border>
    <border>
      <left style="thin">
        <color rgb="FFEDECE5"/>
      </left>
      <right style="thin">
        <color rgb="FFEDECE5"/>
      </right>
      <top/>
      <bottom style="thin">
        <color rgb="FFEDECE5"/>
      </bottom>
      <diagonal/>
    </border>
    <border>
      <left style="thin">
        <color rgb="FFEDECE5"/>
      </left>
      <right style="thin">
        <color rgb="FF323232"/>
      </right>
      <top/>
      <bottom style="thin">
        <color rgb="FFEDECE5"/>
      </bottom>
      <diagonal/>
    </border>
    <border>
      <left style="thin">
        <color rgb="FFEDECE5"/>
      </left>
      <right style="thin">
        <color rgb="FF000000"/>
      </right>
      <top style="thin">
        <color rgb="FFEDECE5"/>
      </top>
      <bottom style="thin">
        <color rgb="FFEDECE5"/>
      </bottom>
      <diagonal/>
    </border>
    <border>
      <left style="thin">
        <color rgb="FF000000"/>
      </left>
      <right style="thin">
        <color rgb="FFEDECE5"/>
      </right>
      <top style="thin">
        <color rgb="FFEDECE5"/>
      </top>
      <bottom style="thin">
        <color rgb="FFEDECE5"/>
      </bottom>
      <diagonal/>
    </border>
    <border>
      <left style="thin">
        <color rgb="FFEDECE5"/>
      </left>
      <right style="thin">
        <color rgb="FFEDECE5"/>
      </right>
      <top style="thin">
        <color rgb="FFEDECE5"/>
      </top>
      <bottom/>
      <diagonal/>
    </border>
    <border>
      <left style="thin">
        <color rgb="FFEDECE5"/>
      </left>
      <right style="thin">
        <color rgb="FF323232"/>
      </right>
      <top style="thin">
        <color rgb="FFEDECE5"/>
      </top>
      <bottom/>
      <diagonal/>
    </border>
    <border>
      <left/>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top style="thin">
        <color auto="1"/>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theme="1" tint="0.499984740745262"/>
      </left>
      <right style="thin">
        <color indexed="9"/>
      </right>
      <top style="thin">
        <color indexed="9"/>
      </top>
      <bottom style="thin">
        <color indexed="9"/>
      </bottom>
      <diagonal/>
    </border>
    <border>
      <left style="thin">
        <color rgb="FFEDECE5"/>
      </left>
      <right style="thin">
        <color indexed="9"/>
      </right>
      <top style="thin">
        <color indexed="9"/>
      </top>
      <bottom style="thin">
        <color indexed="9"/>
      </bottom>
      <diagonal/>
    </border>
    <border>
      <left style="thin">
        <color indexed="9"/>
      </left>
      <right style="thin">
        <color rgb="FF000000"/>
      </right>
      <top style="thin">
        <color indexed="9"/>
      </top>
      <bottom style="thin">
        <color indexed="9"/>
      </bottom>
      <diagonal/>
    </border>
    <border>
      <left style="thin">
        <color rgb="FF000000"/>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right/>
      <top style="thin">
        <color indexed="9"/>
      </top>
      <bottom/>
      <diagonal/>
    </border>
  </borders>
  <cellStyleXfs count="11">
    <xf numFmtId="0" fontId="0" fillId="0" borderId="0"/>
    <xf numFmtId="43" fontId="18" fillId="0" borderId="0" applyFont="0" applyFill="0" applyBorder="0" applyAlignment="0" applyProtection="0"/>
    <xf numFmtId="41" fontId="18" fillId="0" borderId="0" applyFont="0" applyFill="0" applyBorder="0" applyAlignment="0" applyProtection="0"/>
    <xf numFmtId="0" fontId="24" fillId="0" borderId="1"/>
    <xf numFmtId="43" fontId="37" fillId="0" borderId="1" applyFont="0" applyFill="0" applyBorder="0" applyAlignment="0" applyProtection="0"/>
    <xf numFmtId="167" fontId="41" fillId="0" borderId="1" applyFont="0" applyFill="0" applyBorder="0" applyAlignment="0" applyProtection="0"/>
    <xf numFmtId="43" fontId="37" fillId="0" borderId="1" applyFont="0" applyFill="0" applyBorder="0" applyAlignment="0" applyProtection="0"/>
    <xf numFmtId="43" fontId="37" fillId="0" borderId="1" applyFont="0" applyFill="0" applyBorder="0" applyAlignment="0" applyProtection="0"/>
    <xf numFmtId="170" fontId="37" fillId="0" borderId="1" applyFont="0" applyFill="0" applyBorder="0" applyAlignment="0" applyProtection="0"/>
    <xf numFmtId="9" fontId="37" fillId="0" borderId="1" applyFont="0" applyFill="0" applyBorder="0" applyAlignment="0" applyProtection="0"/>
    <xf numFmtId="0" fontId="37" fillId="0" borderId="1"/>
  </cellStyleXfs>
  <cellXfs count="568">
    <xf numFmtId="0" fontId="0" fillId="0" borderId="0" xfId="0"/>
    <xf numFmtId="0" fontId="3" fillId="0" borderId="0" xfId="0" applyFont="1"/>
    <xf numFmtId="0" fontId="4" fillId="0" borderId="0" xfId="0" applyFont="1" applyAlignment="1">
      <alignment vertical="top" wrapText="1"/>
    </xf>
    <xf numFmtId="0" fontId="3" fillId="0" borderId="0" xfId="0" applyFont="1" applyAlignment="1">
      <alignment vertical="top"/>
    </xf>
    <xf numFmtId="0" fontId="5" fillId="0" borderId="0" xfId="0" applyFont="1"/>
    <xf numFmtId="0" fontId="5" fillId="0" borderId="0" xfId="0" applyFont="1" applyAlignment="1">
      <alignment vertical="top" wrapText="1"/>
    </xf>
    <xf numFmtId="0" fontId="5" fillId="0" borderId="0" xfId="0" applyFont="1" applyAlignment="1">
      <alignment vertical="top"/>
    </xf>
    <xf numFmtId="0" fontId="6" fillId="0" borderId="0" xfId="0" applyFont="1"/>
    <xf numFmtId="0" fontId="3" fillId="0" borderId="0" xfId="0" applyFont="1" applyAlignment="1">
      <alignment vertical="top" wrapText="1"/>
    </xf>
    <xf numFmtId="0" fontId="3" fillId="0" borderId="0" xfId="0" applyFont="1" applyAlignment="1">
      <alignment wrapText="1"/>
    </xf>
    <xf numFmtId="0" fontId="7" fillId="0" borderId="0" xfId="0" applyFont="1"/>
    <xf numFmtId="0" fontId="8" fillId="2" borderId="1" xfId="0" applyFont="1" applyFill="1" applyBorder="1" applyAlignment="1">
      <alignment vertical="top"/>
    </xf>
    <xf numFmtId="0" fontId="8" fillId="2" borderId="1" xfId="0" applyFont="1" applyFill="1" applyBorder="1" applyAlignment="1">
      <alignment vertical="top" wrapText="1"/>
    </xf>
    <xf numFmtId="0" fontId="8" fillId="2" borderId="1" xfId="0" applyFont="1" applyFill="1" applyBorder="1"/>
    <xf numFmtId="0" fontId="8" fillId="0" borderId="0" xfId="0" applyFont="1"/>
    <xf numFmtId="0" fontId="9" fillId="3" borderId="2" xfId="0" applyFont="1" applyFill="1" applyBorder="1" applyAlignment="1">
      <alignment vertical="top" wrapText="1"/>
    </xf>
    <xf numFmtId="0" fontId="8" fillId="4" borderId="2" xfId="0" applyFont="1" applyFill="1" applyBorder="1" applyAlignment="1">
      <alignment vertical="top" wrapText="1"/>
    </xf>
    <xf numFmtId="0" fontId="10" fillId="0" borderId="2" xfId="0" applyFont="1" applyBorder="1" applyAlignment="1">
      <alignment horizontal="center" vertical="top" wrapText="1"/>
    </xf>
    <xf numFmtId="0" fontId="11" fillId="0" borderId="2" xfId="0" applyFont="1" applyBorder="1" applyAlignment="1">
      <alignment horizontal="center" vertical="top" wrapText="1"/>
    </xf>
    <xf numFmtId="0" fontId="8" fillId="0" borderId="2" xfId="0" applyFont="1" applyBorder="1"/>
    <xf numFmtId="0" fontId="12" fillId="0" borderId="2" xfId="0" applyFont="1" applyBorder="1" applyAlignment="1">
      <alignment wrapText="1"/>
    </xf>
    <xf numFmtId="0" fontId="13" fillId="0" borderId="2" xfId="0" applyFont="1" applyBorder="1" applyAlignment="1">
      <alignment wrapText="1"/>
    </xf>
    <xf numFmtId="0" fontId="5" fillId="0" borderId="2" xfId="0" applyFont="1" applyBorder="1"/>
    <xf numFmtId="0" fontId="12" fillId="0" borderId="2" xfId="0" applyFont="1" applyBorder="1" applyAlignment="1">
      <alignment vertical="top" wrapText="1"/>
    </xf>
    <xf numFmtId="0" fontId="13" fillId="0" borderId="2" xfId="0" applyFont="1" applyBorder="1" applyAlignment="1">
      <alignment vertical="top" wrapText="1"/>
    </xf>
    <xf numFmtId="0" fontId="8" fillId="0" borderId="2" xfId="0" applyFont="1" applyBorder="1" applyAlignment="1">
      <alignment vertical="top" wrapText="1"/>
    </xf>
    <xf numFmtId="0" fontId="15" fillId="0" borderId="5" xfId="0" applyFont="1" applyBorder="1"/>
    <xf numFmtId="0" fontId="13" fillId="0" borderId="2" xfId="0" applyFont="1" applyBorder="1" applyAlignment="1">
      <alignment horizontal="left" wrapText="1"/>
    </xf>
    <xf numFmtId="0" fontId="16" fillId="0" borderId="2" xfId="0" applyFont="1" applyBorder="1" applyAlignment="1">
      <alignment horizontal="left" vertical="top" wrapText="1"/>
    </xf>
    <xf numFmtId="0" fontId="12" fillId="0" borderId="2" xfId="0" applyFont="1" applyBorder="1" applyAlignment="1">
      <alignment horizontal="left" vertical="top" wrapText="1"/>
    </xf>
    <xf numFmtId="0" fontId="16" fillId="0" borderId="2" xfId="0" applyFont="1" applyBorder="1" applyAlignment="1">
      <alignment vertical="top" wrapText="1"/>
    </xf>
    <xf numFmtId="0" fontId="13" fillId="0" borderId="5" xfId="0" applyFont="1" applyBorder="1" applyAlignment="1">
      <alignment horizontal="center" vertical="top" wrapText="1"/>
    </xf>
    <xf numFmtId="0" fontId="13" fillId="0" borderId="6" xfId="0" applyFont="1" applyBorder="1" applyAlignment="1">
      <alignment horizontal="center" vertical="top" wrapText="1"/>
    </xf>
    <xf numFmtId="0" fontId="12" fillId="0" borderId="6" xfId="0" applyFont="1" applyBorder="1" applyAlignment="1">
      <alignment horizontal="center" vertical="top" wrapText="1"/>
    </xf>
    <xf numFmtId="0" fontId="8" fillId="0" borderId="0" xfId="0" applyFont="1" applyAlignment="1">
      <alignment vertical="top"/>
    </xf>
    <xf numFmtId="0" fontId="8" fillId="0" borderId="0" xfId="0" applyFont="1" applyAlignment="1">
      <alignment vertical="top" wrapText="1"/>
    </xf>
    <xf numFmtId="0" fontId="14" fillId="0" borderId="2" xfId="0" applyFont="1" applyBorder="1" applyAlignment="1">
      <alignment vertical="top" wrapText="1"/>
    </xf>
    <xf numFmtId="0" fontId="3"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9" fillId="3"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4" fillId="0" borderId="2" xfId="0" applyFont="1" applyBorder="1" applyAlignment="1">
      <alignment horizontal="left" vertical="top" wrapText="1"/>
    </xf>
    <xf numFmtId="0" fontId="20" fillId="0" borderId="0" xfId="0" applyFont="1"/>
    <xf numFmtId="0" fontId="18" fillId="0" borderId="0" xfId="0" applyFont="1"/>
    <xf numFmtId="0" fontId="0" fillId="0" borderId="0" xfId="0" applyAlignment="1">
      <alignment horizontal="center"/>
    </xf>
    <xf numFmtId="3" fontId="0" fillId="0" borderId="0" xfId="0" applyNumberFormat="1"/>
    <xf numFmtId="0" fontId="12" fillId="0" borderId="7" xfId="0" applyFont="1" applyBorder="1" applyAlignment="1">
      <alignment horizontal="center" vertical="center" wrapText="1"/>
    </xf>
    <xf numFmtId="0" fontId="9" fillId="0" borderId="0" xfId="0" applyFont="1" applyAlignment="1">
      <alignment horizontal="left"/>
    </xf>
    <xf numFmtId="164" fontId="8" fillId="0" borderId="7" xfId="1" quotePrefix="1" applyNumberFormat="1" applyFont="1" applyFill="1" applyBorder="1" applyAlignment="1">
      <alignment horizontal="left" vertical="center" wrapText="1"/>
    </xf>
    <xf numFmtId="3" fontId="13" fillId="0" borderId="0" xfId="0" applyNumberFormat="1" applyFont="1" applyAlignment="1">
      <alignment horizontal="right" vertical="center"/>
    </xf>
    <xf numFmtId="0" fontId="12" fillId="0" borderId="7" xfId="0" applyFont="1" applyBorder="1" applyAlignment="1">
      <alignment horizontal="left" vertical="center" wrapText="1"/>
    </xf>
    <xf numFmtId="0" fontId="23" fillId="0" borderId="0" xfId="0" applyFont="1" applyAlignment="1">
      <alignment horizontal="right"/>
    </xf>
    <xf numFmtId="3" fontId="23" fillId="0" borderId="0" xfId="0" applyNumberFormat="1" applyFont="1"/>
    <xf numFmtId="0" fontId="23" fillId="0" borderId="0" xfId="0" applyFont="1"/>
    <xf numFmtId="0" fontId="28" fillId="0" borderId="0" xfId="0" applyFont="1"/>
    <xf numFmtId="0" fontId="2" fillId="0" borderId="0" xfId="0" applyFont="1"/>
    <xf numFmtId="0" fontId="19" fillId="0" borderId="0" xfId="0" applyFont="1"/>
    <xf numFmtId="0" fontId="30" fillId="0" borderId="0" xfId="0" applyFont="1"/>
    <xf numFmtId="0" fontId="2" fillId="0" borderId="0" xfId="0" applyFont="1" applyAlignment="1">
      <alignment horizontal="left" vertical="center"/>
    </xf>
    <xf numFmtId="0" fontId="2" fillId="0" borderId="0" xfId="0" applyFont="1" applyAlignment="1">
      <alignment horizontal="center" vertical="top"/>
    </xf>
    <xf numFmtId="0" fontId="20" fillId="0" borderId="0" xfId="0" applyFont="1" applyAlignment="1">
      <alignment horizontal="center" vertical="top" wrapText="1"/>
    </xf>
    <xf numFmtId="0" fontId="18" fillId="0" borderId="0" xfId="0" applyFont="1" applyAlignment="1">
      <alignment horizontal="right"/>
    </xf>
    <xf numFmtId="0" fontId="18" fillId="0" borderId="0" xfId="0" applyFont="1" applyAlignment="1">
      <alignment wrapText="1"/>
    </xf>
    <xf numFmtId="0" fontId="20" fillId="0" borderId="0" xfId="0" applyFont="1" applyAlignment="1">
      <alignment wrapText="1"/>
    </xf>
    <xf numFmtId="41" fontId="2" fillId="0" borderId="0" xfId="2" applyFont="1"/>
    <xf numFmtId="41" fontId="18" fillId="0" borderId="0" xfId="2" applyFont="1"/>
    <xf numFmtId="0" fontId="32" fillId="0" borderId="0" xfId="0" applyFont="1"/>
    <xf numFmtId="0" fontId="33" fillId="0" borderId="0" xfId="0" applyFont="1" applyAlignment="1">
      <alignment horizontal="right"/>
    </xf>
    <xf numFmtId="1" fontId="9" fillId="3" borderId="2" xfId="0" applyNumberFormat="1" applyFont="1" applyFill="1" applyBorder="1" applyAlignment="1">
      <alignment horizontal="center" vertical="top" wrapText="1"/>
    </xf>
    <xf numFmtId="1" fontId="0" fillId="0" borderId="0" xfId="0" applyNumberFormat="1" applyAlignment="1">
      <alignment horizontal="right"/>
    </xf>
    <xf numFmtId="1" fontId="5" fillId="0" borderId="0" xfId="0" applyNumberFormat="1" applyFont="1" applyAlignment="1">
      <alignment horizontal="right"/>
    </xf>
    <xf numFmtId="1" fontId="8" fillId="0" borderId="0" xfId="0" applyNumberFormat="1" applyFont="1" applyAlignment="1">
      <alignment horizontal="right"/>
    </xf>
    <xf numFmtId="2" fontId="13" fillId="0" borderId="2" xfId="0" applyNumberFormat="1" applyFont="1" applyBorder="1" applyAlignment="1">
      <alignment horizontal="right" wrapText="1"/>
    </xf>
    <xf numFmtId="0" fontId="36" fillId="0" borderId="0" xfId="0" applyFont="1" applyAlignment="1">
      <alignment vertical="center"/>
    </xf>
    <xf numFmtId="0" fontId="36" fillId="9" borderId="0" xfId="0" applyFont="1" applyFill="1" applyAlignment="1">
      <alignment vertical="center"/>
    </xf>
    <xf numFmtId="164" fontId="39" fillId="9" borderId="1" xfId="4" applyNumberFormat="1" applyFont="1" applyFill="1" applyAlignment="1">
      <alignment horizontal="center" vertical="center" wrapText="1"/>
    </xf>
    <xf numFmtId="164" fontId="42" fillId="7" borderId="10" xfId="4" applyNumberFormat="1" applyFont="1" applyFill="1" applyBorder="1" applyAlignment="1">
      <alignment vertical="center" wrapText="1"/>
    </xf>
    <xf numFmtId="164" fontId="36" fillId="9" borderId="1" xfId="4" applyNumberFormat="1" applyFont="1" applyFill="1" applyAlignment="1">
      <alignment vertical="center"/>
    </xf>
    <xf numFmtId="0" fontId="43" fillId="9" borderId="7" xfId="0" applyFont="1" applyFill="1" applyBorder="1" applyAlignment="1">
      <alignment vertical="center" wrapText="1"/>
    </xf>
    <xf numFmtId="164" fontId="43" fillId="9" borderId="7" xfId="4" applyNumberFormat="1" applyFont="1" applyFill="1" applyBorder="1" applyAlignment="1">
      <alignment horizontal="center" vertical="center" wrapText="1"/>
    </xf>
    <xf numFmtId="0" fontId="43" fillId="9" borderId="7" xfId="0" applyFont="1" applyFill="1" applyBorder="1" applyAlignment="1">
      <alignment horizontal="center" vertical="center" wrapText="1"/>
    </xf>
    <xf numFmtId="164" fontId="43" fillId="9" borderId="7" xfId="1" applyNumberFormat="1" applyFont="1" applyFill="1" applyBorder="1" applyAlignment="1">
      <alignment horizontal="center" vertical="center" wrapText="1"/>
    </xf>
    <xf numFmtId="164" fontId="43" fillId="9" borderId="13" xfId="1" applyNumberFormat="1" applyFont="1" applyFill="1" applyBorder="1" applyAlignment="1">
      <alignment vertical="center" wrapText="1"/>
    </xf>
    <xf numFmtId="164" fontId="22" fillId="9" borderId="1" xfId="4" applyNumberFormat="1" applyFont="1" applyFill="1" applyAlignment="1">
      <alignment vertical="center"/>
    </xf>
    <xf numFmtId="164" fontId="40" fillId="7" borderId="14" xfId="4" applyNumberFormat="1" applyFont="1" applyFill="1" applyBorder="1" applyAlignment="1">
      <alignment vertical="center" wrapText="1"/>
    </xf>
    <xf numFmtId="164" fontId="40" fillId="7" borderId="15" xfId="4" applyNumberFormat="1" applyFont="1" applyFill="1" applyBorder="1" applyAlignment="1">
      <alignment vertical="center" wrapText="1"/>
    </xf>
    <xf numFmtId="164" fontId="40" fillId="7" borderId="16" xfId="1" applyNumberFormat="1" applyFont="1" applyFill="1" applyBorder="1" applyAlignment="1">
      <alignment vertical="center" wrapText="1"/>
    </xf>
    <xf numFmtId="164" fontId="42" fillId="7" borderId="14" xfId="4" applyNumberFormat="1" applyFont="1" applyFill="1" applyBorder="1" applyAlignment="1">
      <alignment vertical="center" wrapText="1"/>
    </xf>
    <xf numFmtId="169" fontId="42" fillId="7" borderId="7" xfId="4" applyNumberFormat="1" applyFont="1" applyFill="1" applyBorder="1" applyAlignment="1">
      <alignment horizontal="center" vertical="center" wrapText="1"/>
    </xf>
    <xf numFmtId="164" fontId="42" fillId="7" borderId="7" xfId="4" applyNumberFormat="1" applyFont="1" applyFill="1" applyBorder="1" applyAlignment="1">
      <alignment horizontal="center" vertical="center" wrapText="1"/>
    </xf>
    <xf numFmtId="164" fontId="40" fillId="7" borderId="8" xfId="4" applyNumberFormat="1" applyFont="1" applyFill="1" applyBorder="1" applyAlignment="1">
      <alignment vertical="center" wrapText="1"/>
    </xf>
    <xf numFmtId="164" fontId="42" fillId="7" borderId="14" xfId="0" applyNumberFormat="1" applyFont="1" applyFill="1" applyBorder="1" applyAlignment="1">
      <alignment vertical="center" wrapText="1"/>
    </xf>
    <xf numFmtId="169" fontId="42" fillId="7" borderId="7" xfId="0" applyNumberFormat="1" applyFont="1" applyFill="1" applyBorder="1" applyAlignment="1">
      <alignment horizontal="center" vertical="center" wrapText="1"/>
    </xf>
    <xf numFmtId="0" fontId="43" fillId="9" borderId="17" xfId="0" applyFont="1" applyFill="1" applyBorder="1" applyAlignment="1">
      <alignment vertical="center" wrapText="1"/>
    </xf>
    <xf numFmtId="164" fontId="42" fillId="7" borderId="19" xfId="4" applyNumberFormat="1" applyFont="1" applyFill="1" applyBorder="1" applyAlignment="1">
      <alignment vertical="center"/>
    </xf>
    <xf numFmtId="0" fontId="43" fillId="9" borderId="3" xfId="0" applyFont="1" applyFill="1" applyBorder="1" applyAlignment="1">
      <alignment horizontal="left" vertical="center" wrapText="1"/>
    </xf>
    <xf numFmtId="0" fontId="43" fillId="9" borderId="3" xfId="0" applyFont="1" applyFill="1" applyBorder="1" applyAlignment="1">
      <alignment horizontal="center" vertical="center" wrapText="1"/>
    </xf>
    <xf numFmtId="164" fontId="43" fillId="9" borderId="3" xfId="0" applyNumberFormat="1" applyFont="1" applyFill="1" applyBorder="1" applyAlignment="1">
      <alignment horizontal="center" vertical="center" wrapText="1"/>
    </xf>
    <xf numFmtId="164" fontId="5" fillId="9" borderId="3" xfId="4" applyNumberFormat="1" applyFont="1" applyFill="1" applyBorder="1" applyAlignment="1">
      <alignment vertical="center"/>
    </xf>
    <xf numFmtId="169" fontId="42" fillId="9" borderId="3" xfId="4" applyNumberFormat="1" applyFont="1" applyFill="1" applyBorder="1" applyAlignment="1">
      <alignment horizontal="center" vertical="center"/>
    </xf>
    <xf numFmtId="164" fontId="43" fillId="9" borderId="3" xfId="4" applyNumberFormat="1" applyFont="1" applyFill="1" applyBorder="1" applyAlignment="1">
      <alignment vertical="center" wrapText="1"/>
    </xf>
    <xf numFmtId="0" fontId="43" fillId="9" borderId="7" xfId="0" applyFont="1" applyFill="1" applyBorder="1" applyAlignment="1">
      <alignment horizontal="left" vertical="center" wrapText="1"/>
    </xf>
    <xf numFmtId="164" fontId="43" fillId="9" borderId="7" xfId="0" applyNumberFormat="1" applyFont="1" applyFill="1" applyBorder="1" applyAlignment="1">
      <alignment horizontal="center" vertical="center" wrapText="1"/>
    </xf>
    <xf numFmtId="164" fontId="5" fillId="9" borderId="13" xfId="4" applyNumberFormat="1" applyFont="1" applyFill="1" applyBorder="1" applyAlignment="1">
      <alignment vertical="center"/>
    </xf>
    <xf numFmtId="169" fontId="42" fillId="9" borderId="7" xfId="4" applyNumberFormat="1" applyFont="1" applyFill="1" applyBorder="1" applyAlignment="1">
      <alignment horizontal="center" vertical="center"/>
    </xf>
    <xf numFmtId="169" fontId="43" fillId="9" borderId="7" xfId="1" applyNumberFormat="1" applyFont="1" applyFill="1" applyBorder="1" applyAlignment="1">
      <alignment horizontal="center" vertical="center" wrapText="1"/>
    </xf>
    <xf numFmtId="164" fontId="43" fillId="9" borderId="8" xfId="4" applyNumberFormat="1" applyFont="1" applyFill="1" applyBorder="1" applyAlignment="1">
      <alignment vertical="center" wrapText="1"/>
    </xf>
    <xf numFmtId="164" fontId="43" fillId="0" borderId="7" xfId="4" applyNumberFormat="1" applyFont="1" applyBorder="1" applyAlignment="1">
      <alignment vertical="center" wrapText="1"/>
    </xf>
    <xf numFmtId="164" fontId="43" fillId="0" borderId="7" xfId="4" applyNumberFormat="1" applyFont="1" applyBorder="1" applyAlignment="1">
      <alignment horizontal="center" vertical="center" wrapText="1"/>
    </xf>
    <xf numFmtId="0" fontId="43" fillId="0" borderId="7" xfId="4" applyNumberFormat="1" applyFont="1" applyBorder="1" applyAlignment="1">
      <alignment horizontal="center" vertical="center" wrapText="1"/>
    </xf>
    <xf numFmtId="164" fontId="43" fillId="0" borderId="7" xfId="1" applyNumberFormat="1" applyFont="1" applyBorder="1" applyAlignment="1">
      <alignment vertical="center" wrapText="1"/>
    </xf>
    <xf numFmtId="164" fontId="43" fillId="0" borderId="13" xfId="4" applyNumberFormat="1" applyFont="1" applyBorder="1" applyAlignment="1">
      <alignment vertical="center"/>
    </xf>
    <xf numFmtId="169" fontId="43" fillId="0" borderId="7" xfId="4" applyNumberFormat="1" applyFont="1" applyBorder="1" applyAlignment="1">
      <alignment horizontal="center" vertical="center"/>
    </xf>
    <xf numFmtId="164" fontId="36" fillId="9" borderId="1" xfId="4" applyNumberFormat="1" applyFont="1" applyFill="1" applyBorder="1" applyAlignment="1">
      <alignment vertical="center"/>
    </xf>
    <xf numFmtId="164" fontId="36" fillId="9" borderId="1" xfId="4" applyNumberFormat="1" applyFont="1" applyFill="1" applyBorder="1" applyAlignment="1">
      <alignment horizontal="right" vertical="center" wrapText="1"/>
    </xf>
    <xf numFmtId="164" fontId="36" fillId="9" borderId="1" xfId="4" applyNumberFormat="1" applyFont="1" applyFill="1" applyBorder="1" applyAlignment="1">
      <alignment vertical="center" wrapText="1"/>
    </xf>
    <xf numFmtId="164" fontId="36" fillId="9" borderId="1" xfId="4" applyNumberFormat="1" applyFont="1" applyFill="1" applyBorder="1" applyAlignment="1">
      <alignment horizontal="center" vertical="center" wrapText="1"/>
    </xf>
    <xf numFmtId="0" fontId="36" fillId="9" borderId="1" xfId="4" applyNumberFormat="1" applyFont="1" applyFill="1" applyBorder="1" applyAlignment="1">
      <alignment horizontal="center" vertical="center" wrapText="1"/>
    </xf>
    <xf numFmtId="164" fontId="36" fillId="9" borderId="1" xfId="1" applyNumberFormat="1" applyFont="1" applyFill="1" applyBorder="1" applyAlignment="1">
      <alignment vertical="center" wrapText="1"/>
    </xf>
    <xf numFmtId="164" fontId="36" fillId="9" borderId="1" xfId="4" applyNumberFormat="1" applyFont="1" applyFill="1" applyBorder="1" applyAlignment="1">
      <alignment horizontal="center" vertical="center"/>
    </xf>
    <xf numFmtId="164" fontId="36" fillId="9" borderId="1" xfId="4" applyNumberFormat="1" applyFont="1" applyFill="1" applyAlignment="1">
      <alignment horizontal="right" vertical="center" wrapText="1"/>
    </xf>
    <xf numFmtId="164" fontId="36" fillId="9" borderId="1" xfId="4" applyNumberFormat="1" applyFont="1" applyFill="1" applyAlignment="1">
      <alignment vertical="center" wrapText="1"/>
    </xf>
    <xf numFmtId="164" fontId="36" fillId="9" borderId="1" xfId="4" applyNumberFormat="1" applyFont="1" applyFill="1" applyAlignment="1">
      <alignment horizontal="center" vertical="center" wrapText="1"/>
    </xf>
    <xf numFmtId="164" fontId="36" fillId="9" borderId="0" xfId="1" applyNumberFormat="1" applyFont="1" applyFill="1" applyAlignment="1">
      <alignment vertical="center" wrapText="1"/>
    </xf>
    <xf numFmtId="164" fontId="36" fillId="9" borderId="1" xfId="4" applyNumberFormat="1" applyFont="1" applyFill="1" applyAlignment="1">
      <alignment horizontal="center" vertical="center"/>
    </xf>
    <xf numFmtId="0" fontId="36" fillId="0" borderId="0" xfId="0" applyFont="1" applyAlignment="1">
      <alignment vertical="center" wrapText="1"/>
    </xf>
    <xf numFmtId="0" fontId="36" fillId="0" borderId="0" xfId="0" applyFont="1" applyAlignment="1">
      <alignment horizontal="center" vertical="center" wrapText="1"/>
    </xf>
    <xf numFmtId="164" fontId="36" fillId="0" borderId="0" xfId="1" applyNumberFormat="1" applyFont="1" applyAlignment="1">
      <alignment vertical="center" wrapText="1"/>
    </xf>
    <xf numFmtId="0" fontId="36" fillId="0" borderId="0" xfId="0" applyFont="1" applyAlignment="1">
      <alignment horizontal="center" vertical="center"/>
    </xf>
    <xf numFmtId="0" fontId="47" fillId="0" borderId="0" xfId="0" applyFont="1" applyAlignment="1">
      <alignment vertical="center"/>
    </xf>
    <xf numFmtId="0" fontId="43" fillId="0" borderId="0" xfId="0" applyFont="1" applyAlignment="1">
      <alignment vertical="center"/>
    </xf>
    <xf numFmtId="3" fontId="43" fillId="0" borderId="0" xfId="0" applyNumberFormat="1" applyFont="1" applyAlignment="1">
      <alignment vertical="center"/>
    </xf>
    <xf numFmtId="0" fontId="48" fillId="0" borderId="0" xfId="0" applyFont="1" applyAlignment="1">
      <alignment vertical="center"/>
    </xf>
    <xf numFmtId="0" fontId="43" fillId="0" borderId="0" xfId="0" applyFont="1" applyAlignment="1">
      <alignment vertical="center" wrapText="1"/>
    </xf>
    <xf numFmtId="0" fontId="43" fillId="0" borderId="0" xfId="0" applyFont="1" applyAlignment="1">
      <alignment horizontal="center" vertical="center" wrapText="1"/>
    </xf>
    <xf numFmtId="0" fontId="43" fillId="13" borderId="0" xfId="0" applyFont="1" applyFill="1" applyAlignment="1">
      <alignment vertical="center"/>
    </xf>
    <xf numFmtId="0" fontId="40" fillId="0" borderId="0" xfId="0" applyFont="1" applyAlignment="1">
      <alignment vertical="center"/>
    </xf>
    <xf numFmtId="164" fontId="40" fillId="0" borderId="20" xfId="6" applyNumberFormat="1" applyFont="1" applyFill="1" applyBorder="1" applyAlignment="1">
      <alignment horizontal="center" vertical="center"/>
    </xf>
    <xf numFmtId="3" fontId="40" fillId="0" borderId="21" xfId="6" applyNumberFormat="1" applyFont="1" applyFill="1" applyBorder="1" applyAlignment="1">
      <alignment horizontal="center" vertical="center" wrapText="1"/>
    </xf>
    <xf numFmtId="3" fontId="40" fillId="0" borderId="21" xfId="6" applyNumberFormat="1" applyFont="1" applyFill="1" applyBorder="1" applyAlignment="1">
      <alignment horizontal="center" vertical="center"/>
    </xf>
    <xf numFmtId="3" fontId="40" fillId="0" borderId="21" xfId="7" applyNumberFormat="1" applyFont="1" applyFill="1" applyBorder="1" applyAlignment="1">
      <alignment horizontal="center" vertical="center"/>
    </xf>
    <xf numFmtId="164" fontId="49" fillId="0" borderId="21" xfId="7" applyNumberFormat="1" applyFont="1" applyFill="1" applyBorder="1" applyAlignment="1">
      <alignment horizontal="center" vertical="center"/>
    </xf>
    <xf numFmtId="164" fontId="40" fillId="0" borderId="21" xfId="7" applyNumberFormat="1" applyFont="1" applyFill="1" applyBorder="1" applyAlignment="1">
      <alignment horizontal="center" vertical="center" wrapText="1"/>
    </xf>
    <xf numFmtId="3" fontId="40" fillId="0" borderId="21" xfId="8" applyNumberFormat="1" applyFont="1" applyFill="1" applyBorder="1" applyAlignment="1">
      <alignment horizontal="center" vertical="center"/>
    </xf>
    <xf numFmtId="171" fontId="40" fillId="13" borderId="21" xfId="8" applyNumberFormat="1" applyFont="1" applyFill="1" applyBorder="1" applyAlignment="1">
      <alignment horizontal="center" vertical="center"/>
    </xf>
    <xf numFmtId="171" fontId="40" fillId="0" borderId="22" xfId="8" applyNumberFormat="1" applyFont="1" applyFill="1" applyBorder="1" applyAlignment="1">
      <alignment horizontal="center" vertical="center"/>
    </xf>
    <xf numFmtId="0" fontId="44" fillId="0" borderId="0" xfId="0" applyFont="1" applyAlignment="1">
      <alignment vertical="center"/>
    </xf>
    <xf numFmtId="0" fontId="47" fillId="14" borderId="17" xfId="0" applyFont="1" applyFill="1" applyBorder="1" applyAlignment="1">
      <alignment horizontal="center" vertical="center"/>
    </xf>
    <xf numFmtId="3" fontId="47" fillId="14" borderId="23" xfId="0" applyNumberFormat="1" applyFont="1" applyFill="1" applyBorder="1" applyAlignment="1">
      <alignment horizontal="right" vertical="center"/>
    </xf>
    <xf numFmtId="164" fontId="40" fillId="0" borderId="17" xfId="6" applyNumberFormat="1" applyFont="1" applyFill="1" applyBorder="1" applyAlignment="1">
      <alignment horizontal="left" vertical="center"/>
    </xf>
    <xf numFmtId="164" fontId="40" fillId="0" borderId="23" xfId="1" applyNumberFormat="1" applyFont="1" applyFill="1" applyBorder="1" applyAlignment="1">
      <alignment vertical="center"/>
    </xf>
    <xf numFmtId="164" fontId="43" fillId="0" borderId="17" xfId="6" applyNumberFormat="1" applyFont="1" applyFill="1" applyBorder="1" applyAlignment="1">
      <alignment horizontal="left" vertical="center" wrapText="1"/>
    </xf>
    <xf numFmtId="164" fontId="50" fillId="0" borderId="17" xfId="6" applyNumberFormat="1" applyFont="1" applyFill="1" applyBorder="1" applyAlignment="1">
      <alignment horizontal="left" vertical="center" wrapText="1"/>
    </xf>
    <xf numFmtId="164" fontId="52" fillId="0" borderId="23" xfId="1" applyNumberFormat="1" applyFont="1" applyFill="1" applyBorder="1" applyAlignment="1">
      <alignment vertical="center"/>
    </xf>
    <xf numFmtId="0" fontId="50" fillId="0" borderId="0" xfId="0" applyFont="1" applyAlignment="1">
      <alignment vertical="center"/>
    </xf>
    <xf numFmtId="164" fontId="43" fillId="15" borderId="17" xfId="6" applyNumberFormat="1" applyFont="1" applyFill="1" applyBorder="1" applyAlignment="1">
      <alignment horizontal="left" vertical="center" wrapText="1"/>
    </xf>
    <xf numFmtId="164" fontId="40" fillId="15" borderId="23" xfId="1" applyNumberFormat="1" applyFont="1" applyFill="1" applyBorder="1" applyAlignment="1">
      <alignment vertical="center"/>
    </xf>
    <xf numFmtId="0" fontId="43" fillId="15" borderId="0" xfId="0" applyFont="1" applyFill="1" applyAlignment="1">
      <alignment vertical="center"/>
    </xf>
    <xf numFmtId="164" fontId="43" fillId="16" borderId="17" xfId="6" applyNumberFormat="1" applyFont="1" applyFill="1" applyBorder="1" applyAlignment="1">
      <alignment horizontal="left" vertical="center" wrapText="1"/>
    </xf>
    <xf numFmtId="164" fontId="55" fillId="0" borderId="23" xfId="1" applyNumberFormat="1" applyFont="1" applyFill="1" applyBorder="1" applyAlignment="1">
      <alignment vertical="center"/>
    </xf>
    <xf numFmtId="0" fontId="53" fillId="0" borderId="0" xfId="0" applyFont="1" applyAlignment="1">
      <alignment vertical="center"/>
    </xf>
    <xf numFmtId="0" fontId="47" fillId="0" borderId="17" xfId="0" applyFont="1" applyBorder="1" applyAlignment="1">
      <alignment horizontal="center" vertical="center"/>
    </xf>
    <xf numFmtId="164" fontId="40" fillId="7" borderId="17" xfId="6" applyNumberFormat="1" applyFont="1" applyFill="1" applyBorder="1" applyAlignment="1">
      <alignment horizontal="left" vertical="center" wrapText="1"/>
    </xf>
    <xf numFmtId="0" fontId="40" fillId="0" borderId="17" xfId="10" applyFont="1" applyBorder="1" applyAlignment="1">
      <alignment horizontal="left" vertical="center" wrapText="1"/>
    </xf>
    <xf numFmtId="0" fontId="43" fillId="0" borderId="17" xfId="10" applyFont="1" applyBorder="1" applyAlignment="1">
      <alignment horizontal="left" vertical="center" wrapText="1"/>
    </xf>
    <xf numFmtId="0" fontId="40" fillId="7" borderId="17" xfId="10" applyFont="1" applyFill="1" applyBorder="1" applyAlignment="1">
      <alignment horizontal="left" vertical="center" wrapText="1"/>
    </xf>
    <xf numFmtId="164" fontId="40" fillId="7" borderId="23" xfId="1" applyNumberFormat="1" applyFont="1" applyFill="1" applyBorder="1" applyAlignment="1">
      <alignment vertical="center"/>
    </xf>
    <xf numFmtId="0" fontId="43" fillId="7" borderId="0" xfId="0" applyFont="1" applyFill="1" applyAlignment="1">
      <alignment vertical="center"/>
    </xf>
    <xf numFmtId="0" fontId="43" fillId="18" borderId="2" xfId="0" applyFont="1" applyFill="1" applyBorder="1" applyAlignment="1">
      <alignment vertical="center" wrapText="1"/>
    </xf>
    <xf numFmtId="0" fontId="43" fillId="0" borderId="17" xfId="0" applyFont="1" applyBorder="1" applyAlignment="1">
      <alignment wrapText="1"/>
    </xf>
    <xf numFmtId="0" fontId="58" fillId="7" borderId="17" xfId="0" applyFont="1" applyFill="1" applyBorder="1" applyAlignment="1">
      <alignment horizontal="center" vertical="center" wrapText="1"/>
    </xf>
    <xf numFmtId="164" fontId="59" fillId="0" borderId="23" xfId="1" applyNumberFormat="1" applyFont="1" applyFill="1" applyBorder="1" applyAlignment="1">
      <alignment vertical="center"/>
    </xf>
    <xf numFmtId="0" fontId="59" fillId="0" borderId="0" xfId="0" applyFont="1" applyAlignment="1">
      <alignment vertical="center"/>
    </xf>
    <xf numFmtId="164" fontId="61" fillId="0" borderId="17" xfId="6" applyNumberFormat="1" applyFont="1" applyFill="1" applyBorder="1" applyAlignment="1">
      <alignment horizontal="left" vertical="center" wrapText="1"/>
    </xf>
    <xf numFmtId="0" fontId="61" fillId="0" borderId="24" xfId="0" applyFont="1" applyBorder="1" applyAlignment="1">
      <alignment vertical="center"/>
    </xf>
    <xf numFmtId="0" fontId="59" fillId="0" borderId="25" xfId="0" applyFont="1" applyBorder="1" applyAlignment="1">
      <alignment vertical="center"/>
    </xf>
    <xf numFmtId="3" fontId="59" fillId="0" borderId="25" xfId="0" applyNumberFormat="1" applyFont="1" applyBorder="1" applyAlignment="1">
      <alignment vertical="center"/>
    </xf>
    <xf numFmtId="0" fontId="60" fillId="0" borderId="25" xfId="0" applyFont="1" applyBorder="1" applyAlignment="1">
      <alignment vertical="center"/>
    </xf>
    <xf numFmtId="0" fontId="59" fillId="0" borderId="25" xfId="0" applyFont="1" applyBorder="1" applyAlignment="1">
      <alignment vertical="center" wrapText="1"/>
    </xf>
    <xf numFmtId="0" fontId="59" fillId="0" borderId="25" xfId="0" applyFont="1" applyBorder="1" applyAlignment="1">
      <alignment horizontal="center" vertical="center" wrapText="1"/>
    </xf>
    <xf numFmtId="164" fontId="59" fillId="0" borderId="25" xfId="0" applyNumberFormat="1" applyFont="1" applyBorder="1" applyAlignment="1">
      <alignment vertical="center"/>
    </xf>
    <xf numFmtId="0" fontId="59" fillId="13" borderId="25" xfId="0" applyFont="1" applyFill="1" applyBorder="1" applyAlignment="1">
      <alignment vertical="center"/>
    </xf>
    <xf numFmtId="164" fontId="59" fillId="13" borderId="25" xfId="0" applyNumberFormat="1" applyFont="1" applyFill="1" applyBorder="1" applyAlignment="1">
      <alignment vertical="center"/>
    </xf>
    <xf numFmtId="164" fontId="59" fillId="0" borderId="26" xfId="1" applyNumberFormat="1" applyFont="1" applyFill="1" applyBorder="1" applyAlignment="1">
      <alignment vertical="center"/>
    </xf>
    <xf numFmtId="3" fontId="47" fillId="16" borderId="0" xfId="0" applyNumberFormat="1" applyFont="1" applyFill="1" applyAlignment="1">
      <alignment vertical="center"/>
    </xf>
    <xf numFmtId="3" fontId="40" fillId="0" borderId="0" xfId="0" applyNumberFormat="1" applyFont="1" applyAlignment="1">
      <alignment vertical="center"/>
    </xf>
    <xf numFmtId="0" fontId="13" fillId="0" borderId="4" xfId="0" applyFont="1" applyBorder="1" applyAlignment="1">
      <alignment vertical="top" wrapText="1"/>
    </xf>
    <xf numFmtId="0" fontId="12" fillId="0" borderId="4" xfId="0" applyFont="1" applyBorder="1" applyAlignment="1">
      <alignment horizontal="left" vertical="top" wrapText="1"/>
    </xf>
    <xf numFmtId="0" fontId="12" fillId="0" borderId="4" xfId="0" applyFont="1" applyBorder="1" applyAlignment="1">
      <alignment vertical="top" wrapText="1"/>
    </xf>
    <xf numFmtId="0" fontId="19" fillId="0" borderId="1" xfId="0" applyFont="1" applyBorder="1" applyAlignment="1">
      <alignment horizontal="left" vertical="center" wrapText="1"/>
    </xf>
    <xf numFmtId="0" fontId="2" fillId="0" borderId="1" xfId="0" applyFont="1" applyBorder="1" applyAlignment="1">
      <alignment horizontal="left" vertical="center" wrapText="1"/>
    </xf>
    <xf numFmtId="0" fontId="10" fillId="0" borderId="6" xfId="0" applyFont="1" applyBorder="1" applyAlignment="1">
      <alignment horizontal="left"/>
    </xf>
    <xf numFmtId="2" fontId="10" fillId="0" borderId="6" xfId="0" applyNumberFormat="1" applyFont="1" applyBorder="1" applyAlignment="1">
      <alignment horizontal="right"/>
    </xf>
    <xf numFmtId="0" fontId="10" fillId="0" borderId="6" xfId="0" applyFont="1" applyBorder="1" applyAlignment="1">
      <alignment horizontal="left" vertical="top"/>
    </xf>
    <xf numFmtId="0" fontId="0" fillId="19" borderId="0" xfId="0" applyFill="1"/>
    <xf numFmtId="0" fontId="32" fillId="20" borderId="29" xfId="0" applyFont="1" applyFill="1" applyBorder="1"/>
    <xf numFmtId="0" fontId="32" fillId="20" borderId="29" xfId="0" applyFont="1" applyFill="1" applyBorder="1" applyAlignment="1">
      <alignment horizontal="center"/>
    </xf>
    <xf numFmtId="0" fontId="32" fillId="20" borderId="30" xfId="0" applyFont="1" applyFill="1" applyBorder="1"/>
    <xf numFmtId="0" fontId="32" fillId="20" borderId="31" xfId="0" applyFont="1" applyFill="1" applyBorder="1"/>
    <xf numFmtId="0" fontId="32" fillId="20" borderId="32" xfId="0" applyFont="1" applyFill="1" applyBorder="1"/>
    <xf numFmtId="0" fontId="32" fillId="20" borderId="33" xfId="0" applyFont="1" applyFill="1" applyBorder="1"/>
    <xf numFmtId="0" fontId="32" fillId="22" borderId="38" xfId="0" applyFont="1" applyFill="1" applyBorder="1" applyAlignment="1">
      <alignment wrapText="1"/>
    </xf>
    <xf numFmtId="0" fontId="32" fillId="22" borderId="39" xfId="0" applyFont="1" applyFill="1" applyBorder="1" applyAlignment="1">
      <alignment horizontal="center" wrapText="1"/>
    </xf>
    <xf numFmtId="0" fontId="32" fillId="22" borderId="40" xfId="0" applyFont="1" applyFill="1" applyBorder="1" applyAlignment="1">
      <alignment horizontal="center"/>
    </xf>
    <xf numFmtId="0" fontId="32" fillId="22" borderId="41" xfId="0" applyFont="1" applyFill="1" applyBorder="1" applyAlignment="1">
      <alignment horizontal="center"/>
    </xf>
    <xf numFmtId="0" fontId="32" fillId="22" borderId="42" xfId="0" applyFont="1" applyFill="1" applyBorder="1" applyAlignment="1">
      <alignment horizontal="center"/>
    </xf>
    <xf numFmtId="0" fontId="32" fillId="13" borderId="0" xfId="0" applyFont="1" applyFill="1"/>
    <xf numFmtId="4" fontId="7" fillId="13" borderId="43" xfId="0" applyNumberFormat="1" applyFont="1" applyFill="1" applyBorder="1"/>
    <xf numFmtId="0" fontId="15" fillId="13" borderId="44" xfId="0" applyFont="1" applyFill="1" applyBorder="1" applyAlignment="1">
      <alignment horizontal="center"/>
    </xf>
    <xf numFmtId="173" fontId="65" fillId="13" borderId="44" xfId="0" applyNumberFormat="1" applyFont="1" applyFill="1" applyBorder="1" applyAlignment="1">
      <alignment horizontal="center"/>
    </xf>
    <xf numFmtId="173" fontId="66" fillId="13" borderId="44" xfId="0" applyNumberFormat="1" applyFont="1" applyFill="1" applyBorder="1" applyAlignment="1">
      <alignment horizontal="center"/>
    </xf>
    <xf numFmtId="0" fontId="67" fillId="13" borderId="45" xfId="0" applyFont="1" applyFill="1" applyBorder="1" applyAlignment="1">
      <alignment horizontal="center"/>
    </xf>
    <xf numFmtId="0" fontId="15" fillId="13" borderId="29" xfId="0" applyFont="1" applyFill="1" applyBorder="1"/>
    <xf numFmtId="0" fontId="15" fillId="13" borderId="44" xfId="0" applyFont="1" applyFill="1" applyBorder="1"/>
    <xf numFmtId="0" fontId="15" fillId="13" borderId="45" xfId="0" applyFont="1" applyFill="1" applyBorder="1"/>
    <xf numFmtId="0" fontId="15" fillId="13" borderId="46" xfId="0" applyFont="1" applyFill="1" applyBorder="1"/>
    <xf numFmtId="0" fontId="15" fillId="13" borderId="31" xfId="0" applyFont="1" applyFill="1" applyBorder="1"/>
    <xf numFmtId="0" fontId="0" fillId="13" borderId="0" xfId="0" applyFill="1"/>
    <xf numFmtId="0" fontId="0" fillId="13" borderId="27" xfId="0" applyFill="1" applyBorder="1"/>
    <xf numFmtId="0" fontId="0" fillId="13" borderId="28" xfId="0" applyFill="1" applyBorder="1"/>
    <xf numFmtId="0" fontId="68" fillId="22" borderId="2" xfId="0" applyFont="1" applyFill="1" applyBorder="1"/>
    <xf numFmtId="2" fontId="69" fillId="0" borderId="2" xfId="0" applyNumberFormat="1" applyFont="1" applyBorder="1" applyAlignment="1">
      <alignment horizontal="right"/>
    </xf>
    <xf numFmtId="0" fontId="15" fillId="0" borderId="44" xfId="0" applyFont="1" applyBorder="1" applyAlignment="1">
      <alignment horizontal="center"/>
    </xf>
    <xf numFmtId="173" fontId="65" fillId="0" borderId="44" xfId="0" applyNumberFormat="1" applyFont="1" applyBorder="1" applyAlignment="1">
      <alignment horizontal="center"/>
    </xf>
    <xf numFmtId="173" fontId="66" fillId="0" borderId="44" xfId="0" applyNumberFormat="1" applyFont="1" applyBorder="1" applyAlignment="1">
      <alignment horizontal="center"/>
    </xf>
    <xf numFmtId="0" fontId="67" fillId="0" borderId="45" xfId="0" applyFont="1" applyBorder="1" applyAlignment="1">
      <alignment horizontal="center"/>
    </xf>
    <xf numFmtId="0" fontId="15" fillId="20" borderId="29" xfId="0" applyFont="1" applyFill="1" applyBorder="1"/>
    <xf numFmtId="0" fontId="15" fillId="20" borderId="44" xfId="0" applyFont="1" applyFill="1" applyBorder="1"/>
    <xf numFmtId="0" fontId="15" fillId="0" borderId="44" xfId="0" applyFont="1" applyBorder="1"/>
    <xf numFmtId="0" fontId="15" fillId="0" borderId="29" xfId="0" applyFont="1" applyBorder="1"/>
    <xf numFmtId="0" fontId="15" fillId="0" borderId="45" xfId="0" applyFont="1" applyBorder="1"/>
    <xf numFmtId="0" fontId="15" fillId="0" borderId="46" xfId="0" applyFont="1" applyBorder="1"/>
    <xf numFmtId="0" fontId="15" fillId="0" borderId="31" xfId="0" applyFont="1" applyBorder="1" applyAlignment="1">
      <alignment horizontal="center"/>
    </xf>
    <xf numFmtId="0" fontId="0" fillId="0" borderId="27" xfId="0" applyBorder="1"/>
    <xf numFmtId="0" fontId="0" fillId="0" borderId="28" xfId="0" applyBorder="1"/>
    <xf numFmtId="0" fontId="69" fillId="0" borderId="5" xfId="0" applyFont="1" applyBorder="1"/>
    <xf numFmtId="2" fontId="69" fillId="0" borderId="5" xfId="0" applyNumberFormat="1" applyFont="1" applyBorder="1" applyAlignment="1">
      <alignment horizontal="right"/>
    </xf>
    <xf numFmtId="0" fontId="15" fillId="0" borderId="47" xfId="0" applyFont="1" applyBorder="1" applyAlignment="1">
      <alignment horizontal="center"/>
    </xf>
    <xf numFmtId="0" fontId="15" fillId="0" borderId="31" xfId="0" applyFont="1" applyBorder="1"/>
    <xf numFmtId="4" fontId="15" fillId="0" borderId="5" xfId="0" applyNumberFormat="1" applyFont="1" applyBorder="1" applyAlignment="1">
      <alignment horizontal="right"/>
    </xf>
    <xf numFmtId="0" fontId="65" fillId="0" borderId="44" xfId="0" applyFont="1" applyBorder="1" applyAlignment="1">
      <alignment horizontal="center"/>
    </xf>
    <xf numFmtId="0" fontId="66" fillId="0" borderId="44" xfId="0" applyFont="1" applyBorder="1" applyAlignment="1">
      <alignment horizontal="center"/>
    </xf>
    <xf numFmtId="0" fontId="15" fillId="0" borderId="48" xfId="0" applyFont="1" applyBorder="1" applyAlignment="1">
      <alignment horizontal="center"/>
    </xf>
    <xf numFmtId="4" fontId="69" fillId="0" borderId="5" xfId="0" applyNumberFormat="1" applyFont="1" applyBorder="1" applyAlignment="1">
      <alignment horizontal="right"/>
    </xf>
    <xf numFmtId="0" fontId="15" fillId="0" borderId="49" xfId="0" applyFont="1" applyBorder="1"/>
    <xf numFmtId="0" fontId="15" fillId="20" borderId="50" xfId="0" applyFont="1" applyFill="1" applyBorder="1"/>
    <xf numFmtId="0" fontId="15" fillId="0" borderId="2" xfId="0" applyFont="1" applyBorder="1"/>
    <xf numFmtId="2" fontId="15" fillId="0" borderId="2" xfId="0" applyNumberFormat="1" applyFont="1" applyBorder="1" applyAlignment="1">
      <alignment horizontal="right"/>
    </xf>
    <xf numFmtId="0" fontId="15" fillId="20" borderId="45" xfId="0" applyFont="1" applyFill="1" applyBorder="1"/>
    <xf numFmtId="2" fontId="15" fillId="0" borderId="5" xfId="0" applyNumberFormat="1" applyFont="1" applyBorder="1" applyAlignment="1">
      <alignment horizontal="right"/>
    </xf>
    <xf numFmtId="0" fontId="32" fillId="22" borderId="5" xfId="0" applyFont="1" applyFill="1" applyBorder="1"/>
    <xf numFmtId="0" fontId="15" fillId="20" borderId="46" xfId="0" applyFont="1" applyFill="1" applyBorder="1"/>
    <xf numFmtId="0" fontId="65" fillId="0" borderId="44" xfId="0" applyFont="1" applyBorder="1"/>
    <xf numFmtId="0" fontId="66" fillId="0" borderId="44" xfId="0" applyFont="1" applyBorder="1"/>
    <xf numFmtId="0" fontId="15" fillId="0" borderId="51" xfId="0" applyFont="1" applyBorder="1" applyAlignment="1">
      <alignment horizontal="center"/>
    </xf>
    <xf numFmtId="0" fontId="65" fillId="0" borderId="51" xfId="0" applyFont="1" applyBorder="1"/>
    <xf numFmtId="0" fontId="66" fillId="0" borderId="51" xfId="0" applyFont="1" applyBorder="1"/>
    <xf numFmtId="0" fontId="15" fillId="0" borderId="52" xfId="0" applyFont="1" applyBorder="1"/>
    <xf numFmtId="0" fontId="15" fillId="0" borderId="0" xfId="0" applyFont="1"/>
    <xf numFmtId="0" fontId="15" fillId="0" borderId="53" xfId="0" applyFont="1" applyBorder="1"/>
    <xf numFmtId="2" fontId="15" fillId="0" borderId="0" xfId="0" applyNumberFormat="1" applyFont="1" applyAlignment="1">
      <alignment horizontal="right"/>
    </xf>
    <xf numFmtId="0" fontId="32" fillId="22" borderId="0" xfId="0" applyFont="1" applyFill="1"/>
    <xf numFmtId="165" fontId="15" fillId="0" borderId="4" xfId="0" applyNumberFormat="1" applyFont="1" applyBorder="1" applyAlignment="1">
      <alignment horizontal="right"/>
    </xf>
    <xf numFmtId="0" fontId="65" fillId="13" borderId="44" xfId="0" applyFont="1" applyFill="1" applyBorder="1"/>
    <xf numFmtId="0" fontId="66" fillId="13" borderId="44" xfId="0" applyFont="1" applyFill="1" applyBorder="1"/>
    <xf numFmtId="0" fontId="15" fillId="0" borderId="43" xfId="0" applyFont="1" applyBorder="1"/>
    <xf numFmtId="4" fontId="15" fillId="23" borderId="43" xfId="0" applyNumberFormat="1" applyFont="1" applyFill="1" applyBorder="1" applyAlignment="1">
      <alignment horizontal="right"/>
    </xf>
    <xf numFmtId="4" fontId="15" fillId="0" borderId="43" xfId="0" applyNumberFormat="1" applyFont="1" applyBorder="1"/>
    <xf numFmtId="0" fontId="70" fillId="0" borderId="43" xfId="0" applyFont="1" applyBorder="1"/>
    <xf numFmtId="0" fontId="22" fillId="18" borderId="43" xfId="0" applyFont="1" applyFill="1" applyBorder="1" applyAlignment="1">
      <alignment vertical="center" wrapText="1"/>
    </xf>
    <xf numFmtId="0" fontId="32" fillId="0" borderId="43" xfId="0" applyFont="1" applyBorder="1"/>
    <xf numFmtId="0" fontId="14" fillId="18" borderId="43" xfId="0" applyFont="1" applyFill="1" applyBorder="1" applyAlignment="1">
      <alignment horizontal="left" vertical="center"/>
    </xf>
    <xf numFmtId="4" fontId="32" fillId="0" borderId="43" xfId="0" applyNumberFormat="1" applyFont="1" applyBorder="1"/>
    <xf numFmtId="0" fontId="14" fillId="18" borderId="43" xfId="0" applyFont="1" applyFill="1" applyBorder="1" applyAlignment="1">
      <alignment horizontal="left" vertical="center" wrapText="1"/>
    </xf>
    <xf numFmtId="0" fontId="16" fillId="18" borderId="43" xfId="0" applyFont="1" applyFill="1" applyBorder="1" applyAlignment="1">
      <alignment horizontal="left" vertical="center" wrapText="1"/>
    </xf>
    <xf numFmtId="0" fontId="72" fillId="0" borderId="0" xfId="0" applyFont="1"/>
    <xf numFmtId="0" fontId="73" fillId="0" borderId="0" xfId="0" applyFont="1"/>
    <xf numFmtId="0" fontId="74" fillId="0" borderId="0" xfId="0" applyFont="1"/>
    <xf numFmtId="0" fontId="78" fillId="19" borderId="0" xfId="0" applyFont="1" applyFill="1"/>
    <xf numFmtId="0" fontId="78" fillId="19" borderId="27" xfId="0" applyFont="1" applyFill="1" applyBorder="1"/>
    <xf numFmtId="0" fontId="78" fillId="19" borderId="28" xfId="0" applyFont="1" applyFill="1" applyBorder="1"/>
    <xf numFmtId="0" fontId="32" fillId="13" borderId="0" xfId="0" applyFont="1" applyFill="1" applyAlignment="1">
      <alignment wrapText="1"/>
    </xf>
    <xf numFmtId="0" fontId="16" fillId="5" borderId="2" xfId="0" applyFont="1" applyFill="1" applyBorder="1" applyAlignment="1">
      <alignment vertical="top" wrapText="1"/>
    </xf>
    <xf numFmtId="0" fontId="8" fillId="0" borderId="1" xfId="0" applyFont="1" applyBorder="1" applyAlignment="1">
      <alignment vertical="top" wrapText="1"/>
    </xf>
    <xf numFmtId="0" fontId="8" fillId="0" borderId="3" xfId="0" applyFont="1" applyBorder="1"/>
    <xf numFmtId="0" fontId="10" fillId="0" borderId="54" xfId="0" applyFont="1" applyBorder="1" applyAlignment="1">
      <alignment horizontal="left"/>
    </xf>
    <xf numFmtId="0" fontId="10" fillId="0" borderId="54" xfId="0" applyFont="1" applyBorder="1" applyAlignment="1">
      <alignment horizontal="left" vertical="top"/>
    </xf>
    <xf numFmtId="2" fontId="10" fillId="0" borderId="54" xfId="0" applyNumberFormat="1" applyFont="1" applyBorder="1" applyAlignment="1">
      <alignment horizontal="right"/>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 xfId="0" applyFont="1" applyBorder="1" applyAlignment="1">
      <alignment vertical="top" wrapText="1"/>
    </xf>
    <xf numFmtId="164" fontId="60" fillId="0" borderId="55" xfId="6" applyNumberFormat="1" applyFont="1" applyFill="1" applyBorder="1" applyAlignment="1">
      <alignment vertical="center"/>
    </xf>
    <xf numFmtId="0" fontId="19" fillId="0" borderId="55" xfId="0" applyFont="1" applyBorder="1" applyAlignment="1">
      <alignment horizontal="left" vertical="center" wrapText="1"/>
    </xf>
    <xf numFmtId="0" fontId="2" fillId="0" borderId="55" xfId="0" applyFont="1" applyBorder="1" applyAlignment="1">
      <alignment horizontal="left" vertical="center" wrapText="1"/>
    </xf>
    <xf numFmtId="0" fontId="9" fillId="0" borderId="55" xfId="0" applyFont="1" applyBorder="1"/>
    <xf numFmtId="0" fontId="14" fillId="0" borderId="55" xfId="0" applyFont="1" applyBorder="1" applyAlignment="1">
      <alignment vertical="top" wrapText="1"/>
    </xf>
    <xf numFmtId="0" fontId="8" fillId="0" borderId="55" xfId="0" applyFont="1" applyBorder="1"/>
    <xf numFmtId="0" fontId="10" fillId="0" borderId="55" xfId="0" applyFont="1" applyBorder="1" applyAlignment="1">
      <alignment horizontal="left"/>
    </xf>
    <xf numFmtId="0" fontId="10" fillId="0" borderId="55" xfId="0" applyFont="1" applyBorder="1" applyAlignment="1">
      <alignment horizontal="left" vertical="top"/>
    </xf>
    <xf numFmtId="2" fontId="10" fillId="0" borderId="55" xfId="0" applyNumberFormat="1" applyFont="1" applyBorder="1" applyAlignment="1">
      <alignment horizontal="right"/>
    </xf>
    <xf numFmtId="0" fontId="15" fillId="0" borderId="55" xfId="0" applyFont="1" applyBorder="1"/>
    <xf numFmtId="0" fontId="5" fillId="0" borderId="55" xfId="0" applyFont="1" applyBorder="1"/>
    <xf numFmtId="0" fontId="8" fillId="0" borderId="55" xfId="0" applyFont="1" applyBorder="1" applyAlignment="1">
      <alignment vertical="top"/>
    </xf>
    <xf numFmtId="0" fontId="8" fillId="0" borderId="55" xfId="0" applyFont="1" applyBorder="1" applyAlignment="1">
      <alignment vertical="top" wrapText="1"/>
    </xf>
    <xf numFmtId="1" fontId="8" fillId="0" borderId="55" xfId="0" applyNumberFormat="1" applyFont="1" applyBorder="1" applyAlignment="1">
      <alignment horizontal="right"/>
    </xf>
    <xf numFmtId="2" fontId="12" fillId="0" borderId="55" xfId="0" applyNumberFormat="1" applyFont="1" applyBorder="1" applyAlignment="1">
      <alignment horizontal="right" wrapText="1"/>
    </xf>
    <xf numFmtId="0" fontId="20" fillId="0" borderId="55" xfId="0" applyFont="1" applyBorder="1"/>
    <xf numFmtId="0" fontId="18" fillId="0" borderId="55" xfId="0" applyFont="1" applyBorder="1"/>
    <xf numFmtId="0" fontId="18" fillId="0" borderId="55" xfId="0" applyFont="1" applyBorder="1" applyAlignment="1">
      <alignment horizontal="right"/>
    </xf>
    <xf numFmtId="0" fontId="20" fillId="0" borderId="55" xfId="0" applyFont="1" applyBorder="1" applyAlignment="1">
      <alignment horizontal="right"/>
    </xf>
    <xf numFmtId="2" fontId="20" fillId="0" borderId="55" xfId="2" applyNumberFormat="1" applyFont="1" applyBorder="1" applyAlignment="1">
      <alignment horizontal="right"/>
    </xf>
    <xf numFmtId="0" fontId="18" fillId="0" borderId="55" xfId="0" applyFont="1" applyBorder="1" applyAlignment="1">
      <alignment wrapText="1"/>
    </xf>
    <xf numFmtId="2" fontId="20" fillId="0" borderId="55" xfId="0" applyNumberFormat="1" applyFont="1" applyBorder="1" applyAlignment="1">
      <alignment horizontal="right"/>
    </xf>
    <xf numFmtId="0" fontId="19" fillId="0" borderId="55" xfId="0" applyFont="1" applyBorder="1" applyAlignment="1">
      <alignment horizontal="left" vertical="center"/>
    </xf>
    <xf numFmtId="0" fontId="20" fillId="0" borderId="55" xfId="0" applyFont="1" applyBorder="1" applyAlignment="1">
      <alignment horizontal="left" vertical="top" wrapText="1"/>
    </xf>
    <xf numFmtId="0" fontId="2" fillId="0" borderId="55" xfId="0" applyFont="1" applyBorder="1" applyAlignment="1">
      <alignment horizontal="left" vertical="center"/>
    </xf>
    <xf numFmtId="2" fontId="19" fillId="0" borderId="55" xfId="0" applyNumberFormat="1" applyFont="1" applyBorder="1" applyAlignment="1">
      <alignment horizontal="right" vertical="center"/>
    </xf>
    <xf numFmtId="0" fontId="19" fillId="0" borderId="55" xfId="0" applyFont="1" applyBorder="1" applyAlignment="1">
      <alignment horizontal="left" vertical="top" wrapText="1"/>
    </xf>
    <xf numFmtId="0" fontId="19" fillId="0" borderId="57" xfId="0" applyFont="1" applyBorder="1" applyAlignment="1">
      <alignment vertical="center"/>
    </xf>
    <xf numFmtId="0" fontId="19" fillId="0" borderId="55" xfId="0" applyFont="1" applyBorder="1" applyAlignment="1">
      <alignment vertical="top" wrapText="1"/>
    </xf>
    <xf numFmtId="0" fontId="19" fillId="0" borderId="55" xfId="0" applyFont="1" applyBorder="1" applyAlignment="1">
      <alignment horizontal="center" vertical="top"/>
    </xf>
    <xf numFmtId="0" fontId="20" fillId="0" borderId="55" xfId="0" applyFont="1" applyBorder="1" applyAlignment="1">
      <alignment horizontal="center" vertical="top" wrapText="1"/>
    </xf>
    <xf numFmtId="0" fontId="2" fillId="0" borderId="55" xfId="0" applyFont="1" applyBorder="1" applyAlignment="1">
      <alignment horizontal="left" wrapText="1"/>
    </xf>
    <xf numFmtId="166" fontId="2" fillId="0" borderId="55" xfId="2" applyNumberFormat="1" applyFont="1" applyBorder="1" applyAlignment="1">
      <alignment horizontal="right"/>
    </xf>
    <xf numFmtId="0" fontId="2" fillId="0" borderId="55" xfId="0" applyFont="1" applyBorder="1" applyAlignment="1">
      <alignment horizontal="left"/>
    </xf>
    <xf numFmtId="0" fontId="2" fillId="0" borderId="58" xfId="0" applyFont="1" applyBorder="1"/>
    <xf numFmtId="0" fontId="2" fillId="0" borderId="55" xfId="0" applyFont="1" applyBorder="1"/>
    <xf numFmtId="0" fontId="29" fillId="0" borderId="55" xfId="0" applyFont="1" applyBorder="1" applyAlignment="1">
      <alignment horizontal="left"/>
    </xf>
    <xf numFmtId="0" fontId="19" fillId="0" borderId="55" xfId="0" applyFont="1" applyBorder="1" applyAlignment="1">
      <alignment horizontal="right"/>
    </xf>
    <xf numFmtId="0" fontId="30" fillId="0" borderId="55" xfId="0" applyFont="1" applyBorder="1" applyAlignment="1">
      <alignment horizontal="left"/>
    </xf>
    <xf numFmtId="0" fontId="34" fillId="8" borderId="55" xfId="0" applyFont="1" applyFill="1" applyBorder="1" applyAlignment="1">
      <alignment horizontal="center" vertical="center" wrapText="1"/>
    </xf>
    <xf numFmtId="0" fontId="0" fillId="0" borderId="55" xfId="0" applyBorder="1" applyAlignment="1">
      <alignment horizontal="center" vertical="center"/>
    </xf>
    <xf numFmtId="0" fontId="0" fillId="0" borderId="55" xfId="0" applyBorder="1" applyAlignment="1">
      <alignment vertical="center" wrapText="1"/>
    </xf>
    <xf numFmtId="3" fontId="0" fillId="0" borderId="55" xfId="0" applyNumberFormat="1" applyBorder="1" applyAlignment="1">
      <alignment horizontal="right" vertical="center"/>
    </xf>
    <xf numFmtId="3" fontId="32" fillId="0" borderId="55" xfId="0" applyNumberFormat="1" applyFont="1" applyBorder="1" applyAlignment="1">
      <alignment horizontal="right"/>
    </xf>
    <xf numFmtId="3" fontId="35" fillId="2" borderId="55" xfId="0" applyNumberFormat="1" applyFont="1" applyFill="1" applyBorder="1" applyAlignment="1">
      <alignment horizontal="right"/>
    </xf>
    <xf numFmtId="0" fontId="40" fillId="11" borderId="58" xfId="4" applyNumberFormat="1" applyFont="1" applyFill="1" applyBorder="1" applyAlignment="1">
      <alignment vertical="center" wrapText="1"/>
    </xf>
    <xf numFmtId="0" fontId="40" fillId="11" borderId="58" xfId="4" applyNumberFormat="1" applyFont="1" applyFill="1" applyBorder="1" applyAlignment="1">
      <alignment horizontal="center" vertical="center" wrapText="1"/>
    </xf>
    <xf numFmtId="164" fontId="40" fillId="11" borderId="58" xfId="1" applyNumberFormat="1" applyFont="1" applyFill="1" applyBorder="1" applyAlignment="1">
      <alignment horizontal="center" vertical="center" wrapText="1"/>
    </xf>
    <xf numFmtId="164" fontId="40" fillId="11" borderId="58" xfId="4" applyNumberFormat="1" applyFont="1" applyFill="1" applyBorder="1" applyAlignment="1">
      <alignment horizontal="center" vertical="center" wrapText="1"/>
    </xf>
    <xf numFmtId="164" fontId="40" fillId="11" borderId="55" xfId="4" applyNumberFormat="1" applyFont="1" applyFill="1" applyBorder="1" applyAlignment="1">
      <alignment horizontal="center" vertical="center" wrapText="1"/>
    </xf>
    <xf numFmtId="164" fontId="40" fillId="9" borderId="55" xfId="4" applyNumberFormat="1" applyFont="1" applyFill="1" applyBorder="1" applyAlignment="1">
      <alignment horizontal="center" vertical="center" wrapText="1"/>
    </xf>
    <xf numFmtId="164" fontId="36" fillId="0" borderId="56" xfId="4" applyNumberFormat="1" applyFont="1" applyBorder="1" applyAlignment="1">
      <alignment vertical="center"/>
    </xf>
    <xf numFmtId="164" fontId="42" fillId="7" borderId="55" xfId="4" applyNumberFormat="1" applyFont="1" applyFill="1" applyBorder="1" applyAlignment="1">
      <alignment horizontal="center" vertical="center" wrapText="1"/>
    </xf>
    <xf numFmtId="164" fontId="40" fillId="7" borderId="59" xfId="4" applyNumberFormat="1" applyFont="1" applyFill="1" applyBorder="1" applyAlignment="1">
      <alignment vertical="center" wrapText="1"/>
    </xf>
    <xf numFmtId="164" fontId="22" fillId="0" borderId="55" xfId="4" applyNumberFormat="1" applyFont="1" applyBorder="1" applyAlignment="1">
      <alignment vertical="center"/>
    </xf>
    <xf numFmtId="169" fontId="43" fillId="9" borderId="55" xfId="1" applyNumberFormat="1" applyFont="1" applyFill="1" applyBorder="1" applyAlignment="1">
      <alignment horizontal="center" vertical="center" wrapText="1"/>
    </xf>
    <xf numFmtId="164" fontId="43" fillId="9" borderId="59" xfId="4" applyNumberFormat="1" applyFont="1" applyFill="1" applyBorder="1" applyAlignment="1">
      <alignment vertical="center" wrapText="1"/>
    </xf>
    <xf numFmtId="164" fontId="22" fillId="0" borderId="56" xfId="4" applyNumberFormat="1" applyFont="1" applyBorder="1" applyAlignment="1">
      <alignment vertical="center"/>
    </xf>
    <xf numFmtId="0" fontId="43" fillId="9" borderId="55" xfId="0" applyFont="1" applyFill="1" applyBorder="1" applyAlignment="1">
      <alignment vertical="center" wrapText="1"/>
    </xf>
    <xf numFmtId="164" fontId="43" fillId="9" borderId="55" xfId="4" applyNumberFormat="1" applyFont="1" applyFill="1" applyBorder="1" applyAlignment="1">
      <alignment horizontal="center" vertical="center" wrapText="1"/>
    </xf>
    <xf numFmtId="0" fontId="43" fillId="9" borderId="55" xfId="0" applyFont="1" applyFill="1" applyBorder="1" applyAlignment="1">
      <alignment horizontal="center" vertical="center" wrapText="1"/>
    </xf>
    <xf numFmtId="164" fontId="43" fillId="9" borderId="55" xfId="1" applyNumberFormat="1" applyFont="1" applyFill="1" applyBorder="1" applyAlignment="1">
      <alignment horizontal="center" vertical="center" wrapText="1"/>
    </xf>
    <xf numFmtId="164" fontId="44" fillId="9" borderId="55" xfId="4" applyNumberFormat="1" applyFont="1" applyFill="1" applyBorder="1" applyAlignment="1">
      <alignment vertical="center" wrapText="1"/>
    </xf>
    <xf numFmtId="164" fontId="43" fillId="9" borderId="55" xfId="4" applyNumberFormat="1" applyFont="1" applyFill="1" applyBorder="1" applyAlignment="1">
      <alignment vertical="center" wrapText="1"/>
    </xf>
    <xf numFmtId="164" fontId="43" fillId="9" borderId="55" xfId="1" applyNumberFormat="1" applyFont="1" applyFill="1" applyBorder="1" applyAlignment="1">
      <alignment vertical="center" wrapText="1"/>
    </xf>
    <xf numFmtId="164" fontId="36" fillId="0" borderId="55" xfId="4" applyNumberFormat="1" applyFont="1" applyBorder="1" applyAlignment="1">
      <alignment vertical="center"/>
    </xf>
    <xf numFmtId="164" fontId="43" fillId="0" borderId="55" xfId="4" applyNumberFormat="1" applyFont="1" applyBorder="1" applyAlignment="1">
      <alignment vertical="center" wrapText="1"/>
    </xf>
    <xf numFmtId="164" fontId="43" fillId="0" borderId="55" xfId="4" applyNumberFormat="1" applyFont="1" applyBorder="1" applyAlignment="1">
      <alignment horizontal="center" vertical="center" wrapText="1"/>
    </xf>
    <xf numFmtId="0" fontId="43" fillId="0" borderId="55" xfId="4" applyNumberFormat="1" applyFont="1" applyBorder="1" applyAlignment="1">
      <alignment horizontal="center" vertical="center" wrapText="1"/>
    </xf>
    <xf numFmtId="164" fontId="43" fillId="0" borderId="55" xfId="1" applyNumberFormat="1" applyFont="1" applyBorder="1" applyAlignment="1">
      <alignment horizontal="center" vertical="center" wrapText="1"/>
    </xf>
    <xf numFmtId="164" fontId="43" fillId="0" borderId="56" xfId="4" applyNumberFormat="1" applyFont="1" applyBorder="1" applyAlignment="1">
      <alignment vertical="center"/>
    </xf>
    <xf numFmtId="169" fontId="43" fillId="0" borderId="55" xfId="4" applyNumberFormat="1" applyFont="1" applyBorder="1" applyAlignment="1">
      <alignment vertical="center"/>
    </xf>
    <xf numFmtId="169" fontId="43" fillId="9" borderId="55" xfId="1" applyNumberFormat="1" applyFont="1" applyFill="1" applyBorder="1" applyAlignment="1">
      <alignment vertical="center" wrapText="1"/>
    </xf>
    <xf numFmtId="164" fontId="43" fillId="0" borderId="57" xfId="4" applyNumberFormat="1" applyFont="1" applyBorder="1" applyAlignment="1">
      <alignment vertical="center"/>
    </xf>
    <xf numFmtId="164" fontId="43" fillId="0" borderId="55" xfId="4" applyNumberFormat="1" applyFont="1" applyBorder="1" applyAlignment="1">
      <alignment vertical="center"/>
    </xf>
    <xf numFmtId="164" fontId="43" fillId="0" borderId="55" xfId="1" applyNumberFormat="1" applyFont="1" applyBorder="1" applyAlignment="1">
      <alignment vertical="center" wrapText="1"/>
    </xf>
    <xf numFmtId="169" fontId="43" fillId="0" borderId="55" xfId="4" applyNumberFormat="1" applyFont="1" applyBorder="1" applyAlignment="1">
      <alignment horizontal="center" vertical="center"/>
    </xf>
    <xf numFmtId="164" fontId="43" fillId="9" borderId="60" xfId="4" applyNumberFormat="1" applyFont="1" applyFill="1" applyBorder="1" applyAlignment="1">
      <alignment horizontal="left" vertical="center" wrapText="1"/>
    </xf>
    <xf numFmtId="0" fontId="43" fillId="9" borderId="58" xfId="0" applyFont="1" applyFill="1" applyBorder="1" applyAlignment="1">
      <alignment vertical="center" wrapText="1"/>
    </xf>
    <xf numFmtId="164" fontId="43" fillId="0" borderId="58" xfId="4" applyNumberFormat="1" applyFont="1" applyBorder="1" applyAlignment="1">
      <alignment vertical="center" wrapText="1"/>
    </xf>
    <xf numFmtId="164" fontId="43" fillId="0" borderId="58" xfId="4" applyNumberFormat="1" applyFont="1" applyBorder="1" applyAlignment="1">
      <alignment horizontal="center" vertical="center" wrapText="1"/>
    </xf>
    <xf numFmtId="0" fontId="43" fillId="0" borderId="58" xfId="4" applyNumberFormat="1" applyFont="1" applyBorder="1" applyAlignment="1">
      <alignment horizontal="center" vertical="center" wrapText="1"/>
    </xf>
    <xf numFmtId="164" fontId="43" fillId="0" borderId="58" xfId="1" applyNumberFormat="1" applyFont="1" applyBorder="1" applyAlignment="1">
      <alignment horizontal="center" vertical="center" wrapText="1"/>
    </xf>
    <xf numFmtId="164" fontId="43" fillId="0" borderId="61" xfId="4" applyNumberFormat="1" applyFont="1" applyBorder="1" applyAlignment="1">
      <alignment vertical="center"/>
    </xf>
    <xf numFmtId="169" fontId="43" fillId="0" borderId="58" xfId="4" applyNumberFormat="1" applyFont="1" applyBorder="1" applyAlignment="1">
      <alignment horizontal="center" vertical="center"/>
    </xf>
    <xf numFmtId="169" fontId="43" fillId="9" borderId="58" xfId="1" applyNumberFormat="1" applyFont="1" applyFill="1" applyBorder="1" applyAlignment="1">
      <alignment horizontal="center" vertical="center" wrapText="1"/>
    </xf>
    <xf numFmtId="164" fontId="43" fillId="9" borderId="60" xfId="4" applyNumberFormat="1" applyFont="1" applyFill="1" applyBorder="1" applyAlignment="1">
      <alignment vertical="center" wrapText="1"/>
    </xf>
    <xf numFmtId="0" fontId="75" fillId="19" borderId="62" xfId="0" applyFont="1" applyFill="1" applyBorder="1" applyAlignment="1">
      <alignment horizontal="left"/>
    </xf>
    <xf numFmtId="0" fontId="76" fillId="19" borderId="62" xfId="0" applyFont="1" applyFill="1" applyBorder="1" applyAlignment="1">
      <alignment horizontal="left"/>
    </xf>
    <xf numFmtId="0" fontId="77" fillId="19" borderId="62" xfId="0" applyFont="1" applyFill="1" applyBorder="1" applyAlignment="1">
      <alignment horizontal="center"/>
    </xf>
    <xf numFmtId="0" fontId="77" fillId="19" borderId="62" xfId="0" applyFont="1" applyFill="1" applyBorder="1" applyAlignment="1">
      <alignment horizontal="left"/>
    </xf>
    <xf numFmtId="0" fontId="77" fillId="19" borderId="63" xfId="0" applyFont="1" applyFill="1" applyBorder="1" applyAlignment="1">
      <alignment horizontal="left"/>
    </xf>
    <xf numFmtId="0" fontId="76" fillId="19" borderId="63" xfId="0" applyFont="1" applyFill="1" applyBorder="1" applyAlignment="1">
      <alignment horizontal="left"/>
    </xf>
    <xf numFmtId="0" fontId="77" fillId="19" borderId="64" xfId="0" applyFont="1" applyFill="1" applyBorder="1" applyAlignment="1">
      <alignment horizontal="left"/>
    </xf>
    <xf numFmtId="0" fontId="77" fillId="19" borderId="65" xfId="0" applyFont="1" applyFill="1" applyBorder="1" applyAlignment="1">
      <alignment horizontal="left"/>
    </xf>
    <xf numFmtId="0" fontId="63" fillId="19" borderId="66" xfId="0" applyFont="1" applyFill="1" applyBorder="1"/>
    <xf numFmtId="0" fontId="63" fillId="19" borderId="63" xfId="0" applyFont="1" applyFill="1" applyBorder="1"/>
    <xf numFmtId="0" fontId="63" fillId="19" borderId="63" xfId="0" applyFont="1" applyFill="1" applyBorder="1" applyAlignment="1">
      <alignment horizontal="center"/>
    </xf>
    <xf numFmtId="0" fontId="63" fillId="19" borderId="67" xfId="0" applyFont="1" applyFill="1" applyBorder="1" applyAlignment="1">
      <alignment horizontal="center"/>
    </xf>
    <xf numFmtId="0" fontId="64" fillId="13" borderId="70" xfId="0" applyFont="1" applyFill="1" applyBorder="1" applyAlignment="1">
      <alignment wrapText="1"/>
    </xf>
    <xf numFmtId="0" fontId="64" fillId="0" borderId="70" xfId="0" applyFont="1" applyBorder="1" applyAlignment="1">
      <alignment wrapText="1"/>
    </xf>
    <xf numFmtId="0" fontId="43" fillId="9" borderId="55" xfId="4" applyNumberFormat="1" applyFont="1" applyFill="1" applyBorder="1" applyAlignment="1">
      <alignment horizontal="center" vertical="center" wrapText="1"/>
    </xf>
    <xf numFmtId="164" fontId="43" fillId="9" borderId="56" xfId="4" applyNumberFormat="1" applyFont="1" applyFill="1" applyBorder="1" applyAlignment="1">
      <alignment vertical="center"/>
    </xf>
    <xf numFmtId="169" fontId="43" fillId="9" borderId="55" xfId="4" applyNumberFormat="1" applyFont="1" applyFill="1" applyBorder="1" applyAlignment="1">
      <alignment horizontal="center" vertical="center"/>
    </xf>
    <xf numFmtId="169" fontId="42" fillId="7" borderId="58" xfId="4" applyNumberFormat="1" applyFont="1" applyFill="1" applyBorder="1" applyAlignment="1">
      <alignment horizontal="center" vertical="center"/>
    </xf>
    <xf numFmtId="164" fontId="42" fillId="7" borderId="58" xfId="4" applyNumberFormat="1" applyFont="1" applyFill="1" applyBorder="1" applyAlignment="1">
      <alignment horizontal="center" vertical="center" wrapText="1"/>
    </xf>
    <xf numFmtId="164" fontId="43" fillId="7" borderId="60" xfId="4" applyNumberFormat="1" applyFont="1" applyFill="1" applyBorder="1" applyAlignment="1">
      <alignment vertical="center" wrapText="1"/>
    </xf>
    <xf numFmtId="0" fontId="43" fillId="9" borderId="55" xfId="0" applyFont="1" applyFill="1" applyBorder="1" applyAlignment="1">
      <alignment horizontal="left" vertical="center" wrapText="1"/>
    </xf>
    <xf numFmtId="164" fontId="43" fillId="9" borderId="55" xfId="0" applyNumberFormat="1" applyFont="1" applyFill="1" applyBorder="1" applyAlignment="1">
      <alignment horizontal="center" vertical="center" wrapText="1"/>
    </xf>
    <xf numFmtId="164" fontId="5" fillId="9" borderId="55" xfId="4" applyNumberFormat="1" applyFont="1" applyFill="1" applyBorder="1" applyAlignment="1">
      <alignment vertical="center"/>
    </xf>
    <xf numFmtId="169" fontId="42" fillId="9" borderId="55" xfId="4" applyNumberFormat="1" applyFont="1" applyFill="1" applyBorder="1" applyAlignment="1">
      <alignment horizontal="center" vertical="center"/>
    </xf>
    <xf numFmtId="164" fontId="39" fillId="12" borderId="55" xfId="4" applyNumberFormat="1" applyFont="1" applyFill="1" applyBorder="1" applyAlignment="1">
      <alignment vertical="center" wrapText="1"/>
    </xf>
    <xf numFmtId="164" fontId="40" fillId="12" borderId="55" xfId="4" applyNumberFormat="1" applyFont="1" applyFill="1" applyBorder="1" applyAlignment="1">
      <alignment vertical="center" wrapText="1"/>
    </xf>
    <xf numFmtId="164" fontId="40" fillId="12" borderId="55" xfId="4" applyNumberFormat="1" applyFont="1" applyFill="1" applyBorder="1" applyAlignment="1">
      <alignment horizontal="center" vertical="center" wrapText="1"/>
    </xf>
    <xf numFmtId="0" fontId="40" fillId="12" borderId="55" xfId="4" applyNumberFormat="1" applyFont="1" applyFill="1" applyBorder="1" applyAlignment="1">
      <alignment horizontal="center" vertical="center" wrapText="1"/>
    </xf>
    <xf numFmtId="164" fontId="40" fillId="12" borderId="55" xfId="1" applyNumberFormat="1" applyFont="1" applyFill="1" applyBorder="1" applyAlignment="1">
      <alignment vertical="center" wrapText="1"/>
    </xf>
    <xf numFmtId="164" fontId="45" fillId="12" borderId="56" xfId="4" applyNumberFormat="1" applyFont="1" applyFill="1" applyBorder="1" applyAlignment="1">
      <alignment vertical="center"/>
    </xf>
    <xf numFmtId="169" fontId="45" fillId="12" borderId="55" xfId="4" applyNumberFormat="1" applyFont="1" applyFill="1" applyBorder="1" applyAlignment="1">
      <alignment horizontal="center" vertical="center"/>
    </xf>
    <xf numFmtId="164" fontId="40" fillId="12" borderId="59" xfId="4" applyNumberFormat="1" applyFont="1" applyFill="1" applyBorder="1" applyAlignment="1">
      <alignment horizontal="center" vertical="center" wrapText="1"/>
    </xf>
    <xf numFmtId="0" fontId="12" fillId="6" borderId="55" xfId="0" applyFont="1" applyFill="1" applyBorder="1" applyAlignment="1">
      <alignment horizontal="center" vertical="center" wrapText="1"/>
    </xf>
    <xf numFmtId="164" fontId="9" fillId="6" borderId="55" xfId="1" applyNumberFormat="1" applyFont="1" applyFill="1" applyBorder="1" applyAlignment="1">
      <alignment horizontal="center" vertical="center"/>
    </xf>
    <xf numFmtId="0" fontId="13" fillId="0" borderId="55" xfId="0" applyFont="1" applyBorder="1" applyAlignment="1">
      <alignment horizontal="center" vertical="center" wrapText="1"/>
    </xf>
    <xf numFmtId="0" fontId="12" fillId="0" borderId="55" xfId="0" applyFont="1" applyBorder="1" applyAlignment="1">
      <alignment horizontal="center" vertical="center" wrapText="1"/>
    </xf>
    <xf numFmtId="0" fontId="13" fillId="0" borderId="55" xfId="0" applyFont="1" applyBorder="1" applyAlignment="1">
      <alignment horizontal="left" vertical="center" wrapText="1"/>
    </xf>
    <xf numFmtId="3" fontId="13" fillId="0" borderId="55" xfId="0" applyNumberFormat="1" applyFont="1" applyBorder="1" applyAlignment="1">
      <alignment horizontal="right" vertical="center" wrapText="1"/>
    </xf>
    <xf numFmtId="3" fontId="13" fillId="0" borderId="55" xfId="0" applyNumberFormat="1" applyFont="1" applyBorder="1" applyAlignment="1">
      <alignment horizontal="right" vertical="center"/>
    </xf>
    <xf numFmtId="3" fontId="13" fillId="7" borderId="55" xfId="0" quotePrefix="1" applyNumberFormat="1" applyFont="1" applyFill="1" applyBorder="1" applyAlignment="1">
      <alignment horizontal="center" vertical="center" wrapText="1"/>
    </xf>
    <xf numFmtId="164" fontId="8" fillId="0" borderId="55" xfId="1" applyNumberFormat="1" applyFont="1" applyFill="1" applyBorder="1" applyAlignment="1">
      <alignment horizontal="left" vertical="top" wrapText="1"/>
    </xf>
    <xf numFmtId="0" fontId="12" fillId="0" borderId="58" xfId="0" applyFont="1" applyBorder="1" applyAlignment="1">
      <alignment horizontal="center" vertical="center" wrapText="1"/>
    </xf>
    <xf numFmtId="164" fontId="8" fillId="0" borderId="55" xfId="1" applyNumberFormat="1" applyFont="1" applyFill="1" applyBorder="1" applyAlignment="1">
      <alignment horizontal="left" vertical="center" wrapText="1"/>
    </xf>
    <xf numFmtId="0" fontId="13" fillId="0" borderId="58" xfId="0" applyFont="1" applyBorder="1" applyAlignment="1">
      <alignment horizontal="left" vertical="center" wrapText="1"/>
    </xf>
    <xf numFmtId="164" fontId="8" fillId="0" borderId="55" xfId="1" quotePrefix="1" applyNumberFormat="1" applyFont="1" applyFill="1" applyBorder="1" applyAlignment="1">
      <alignment horizontal="left" vertical="center" wrapText="1"/>
    </xf>
    <xf numFmtId="164" fontId="8" fillId="0" borderId="55" xfId="1" quotePrefix="1" applyNumberFormat="1" applyFont="1" applyFill="1" applyBorder="1" applyAlignment="1">
      <alignment horizontal="right" vertical="center" wrapText="1"/>
    </xf>
    <xf numFmtId="3" fontId="13" fillId="0" borderId="55" xfId="0" applyNumberFormat="1" applyFont="1" applyBorder="1" applyAlignment="1">
      <alignment horizontal="center" vertical="center" wrapText="1"/>
    </xf>
    <xf numFmtId="3" fontId="13" fillId="0" borderId="55" xfId="0" applyNumberFormat="1" applyFont="1" applyBorder="1" applyAlignment="1">
      <alignment vertical="center" wrapText="1"/>
    </xf>
    <xf numFmtId="164" fontId="8" fillId="0" borderId="58" xfId="1" quotePrefix="1" applyNumberFormat="1" applyFont="1" applyFill="1" applyBorder="1" applyAlignment="1">
      <alignment vertical="center" wrapText="1"/>
    </xf>
    <xf numFmtId="0" fontId="13" fillId="0" borderId="55" xfId="0" applyFont="1" applyBorder="1" applyAlignment="1">
      <alignment vertical="center" wrapText="1"/>
    </xf>
    <xf numFmtId="3" fontId="25" fillId="0" borderId="55" xfId="3" applyNumberFormat="1" applyFont="1" applyBorder="1" applyAlignment="1">
      <alignment vertical="center"/>
    </xf>
    <xf numFmtId="3" fontId="13" fillId="0" borderId="55" xfId="0" applyNumberFormat="1" applyFont="1" applyBorder="1" applyAlignment="1">
      <alignment vertical="center"/>
    </xf>
    <xf numFmtId="3" fontId="13" fillId="7" borderId="55" xfId="0" quotePrefix="1" applyNumberFormat="1" applyFont="1" applyFill="1" applyBorder="1" applyAlignment="1">
      <alignment horizontal="left" vertical="center" wrapText="1"/>
    </xf>
    <xf numFmtId="0" fontId="13" fillId="0" borderId="55" xfId="0" quotePrefix="1" applyFont="1" applyBorder="1" applyAlignment="1">
      <alignment horizontal="left" vertical="center" wrapText="1"/>
    </xf>
    <xf numFmtId="0" fontId="13" fillId="0" borderId="55" xfId="0" applyFont="1" applyBorder="1" applyAlignment="1">
      <alignment horizontal="left" vertical="top" wrapText="1"/>
    </xf>
    <xf numFmtId="3" fontId="22" fillId="0" borderId="55" xfId="0" applyNumberFormat="1" applyFont="1" applyBorder="1" applyAlignment="1">
      <alignment horizontal="right" vertical="center" readingOrder="1"/>
    </xf>
    <xf numFmtId="3" fontId="12" fillId="0" borderId="55" xfId="0" applyNumberFormat="1" applyFont="1" applyBorder="1" applyAlignment="1">
      <alignment horizontal="right" vertical="center"/>
    </xf>
    <xf numFmtId="164" fontId="8" fillId="0" borderId="55" xfId="1" applyNumberFormat="1" applyFont="1" applyBorder="1" applyAlignment="1">
      <alignment horizontal="center"/>
    </xf>
    <xf numFmtId="3" fontId="40" fillId="14" borderId="55" xfId="6" applyNumberFormat="1" applyFont="1" applyFill="1" applyBorder="1" applyAlignment="1">
      <alignment horizontal="center" vertical="center"/>
    </xf>
    <xf numFmtId="3" fontId="47" fillId="14" borderId="55" xfId="0" applyNumberFormat="1" applyFont="1" applyFill="1" applyBorder="1" applyAlignment="1">
      <alignment horizontal="center" vertical="center"/>
    </xf>
    <xf numFmtId="164" fontId="49" fillId="0" borderId="55" xfId="7" applyNumberFormat="1" applyFont="1" applyFill="1" applyBorder="1" applyAlignment="1">
      <alignment horizontal="left" vertical="center"/>
    </xf>
    <xf numFmtId="164" fontId="40" fillId="0" borderId="55" xfId="7" applyNumberFormat="1" applyFont="1" applyFill="1" applyBorder="1" applyAlignment="1">
      <alignment horizontal="center" vertical="center" wrapText="1"/>
    </xf>
    <xf numFmtId="0" fontId="43" fillId="0" borderId="55" xfId="0" applyFont="1" applyBorder="1" applyAlignment="1">
      <alignment vertical="center"/>
    </xf>
    <xf numFmtId="3" fontId="47" fillId="13" borderId="55" xfId="0" applyNumberFormat="1" applyFont="1" applyFill="1" applyBorder="1" applyAlignment="1">
      <alignment horizontal="right" vertical="center"/>
    </xf>
    <xf numFmtId="164" fontId="43" fillId="0" borderId="55" xfId="6" applyNumberFormat="1" applyFont="1" applyFill="1" applyBorder="1" applyAlignment="1">
      <alignment vertical="center"/>
    </xf>
    <xf numFmtId="3" fontId="43" fillId="0" borderId="55" xfId="6" applyNumberFormat="1" applyFont="1" applyFill="1" applyBorder="1" applyAlignment="1">
      <alignment vertical="center"/>
    </xf>
    <xf numFmtId="172" fontId="48" fillId="0" borderId="55" xfId="9" applyNumberFormat="1" applyFont="1" applyFill="1" applyBorder="1" applyAlignment="1">
      <alignment horizontal="left" vertical="center"/>
    </xf>
    <xf numFmtId="164" fontId="43" fillId="0" borderId="55" xfId="6" applyNumberFormat="1" applyFont="1" applyFill="1" applyBorder="1" applyAlignment="1">
      <alignment vertical="center" wrapText="1"/>
    </xf>
    <xf numFmtId="164" fontId="40" fillId="0" borderId="55" xfId="6" applyNumberFormat="1" applyFont="1" applyFill="1" applyBorder="1" applyAlignment="1">
      <alignment horizontal="center" vertical="center" wrapText="1"/>
    </xf>
    <xf numFmtId="164" fontId="43" fillId="0" borderId="55" xfId="0" applyNumberFormat="1" applyFont="1" applyBorder="1" applyAlignment="1">
      <alignment vertical="center"/>
    </xf>
    <xf numFmtId="0" fontId="43" fillId="13" borderId="55" xfId="0" applyFont="1" applyFill="1" applyBorder="1" applyAlignment="1">
      <alignment vertical="center"/>
    </xf>
    <xf numFmtId="164" fontId="43" fillId="13" borderId="55" xfId="0" applyNumberFormat="1" applyFont="1" applyFill="1" applyBorder="1" applyAlignment="1">
      <alignment vertical="center"/>
    </xf>
    <xf numFmtId="3" fontId="43" fillId="0" borderId="55" xfId="0" applyNumberFormat="1" applyFont="1" applyBorder="1" applyAlignment="1">
      <alignment vertical="center"/>
    </xf>
    <xf numFmtId="0" fontId="48" fillId="0" borderId="55" xfId="0" applyFont="1" applyBorder="1" applyAlignment="1">
      <alignment vertical="center"/>
    </xf>
    <xf numFmtId="0" fontId="43" fillId="0" borderId="55" xfId="0" applyFont="1" applyBorder="1" applyAlignment="1">
      <alignment horizontal="center" vertical="center" wrapText="1"/>
    </xf>
    <xf numFmtId="0" fontId="50" fillId="0" borderId="55" xfId="0" applyFont="1" applyBorder="1" applyAlignment="1">
      <alignment vertical="center"/>
    </xf>
    <xf numFmtId="3" fontId="50" fillId="0" borderId="55" xfId="0" applyNumberFormat="1" applyFont="1" applyBorder="1" applyAlignment="1">
      <alignment vertical="center"/>
    </xf>
    <xf numFmtId="0" fontId="51" fillId="0" borderId="55" xfId="0" applyFont="1" applyBorder="1" applyAlignment="1">
      <alignment vertical="center"/>
    </xf>
    <xf numFmtId="164" fontId="50" fillId="0" borderId="55" xfId="6" applyNumberFormat="1" applyFont="1" applyFill="1" applyBorder="1" applyAlignment="1">
      <alignment vertical="center" wrapText="1"/>
    </xf>
    <xf numFmtId="0" fontId="50" fillId="0" borderId="55" xfId="0" applyFont="1" applyBorder="1" applyAlignment="1">
      <alignment horizontal="center" vertical="center" wrapText="1"/>
    </xf>
    <xf numFmtId="164" fontId="50" fillId="0" borderId="55" xfId="0" applyNumberFormat="1" applyFont="1" applyBorder="1" applyAlignment="1">
      <alignment vertical="center"/>
    </xf>
    <xf numFmtId="164" fontId="50" fillId="13" borderId="55" xfId="1" applyNumberFormat="1" applyFont="1" applyFill="1" applyBorder="1" applyAlignment="1">
      <alignment vertical="center"/>
    </xf>
    <xf numFmtId="0" fontId="43" fillId="15" borderId="55" xfId="0" applyFont="1" applyFill="1" applyBorder="1" applyAlignment="1">
      <alignment vertical="center"/>
    </xf>
    <xf numFmtId="3" fontId="43" fillId="15" borderId="55" xfId="0" applyNumberFormat="1" applyFont="1" applyFill="1" applyBorder="1" applyAlignment="1">
      <alignment vertical="center"/>
    </xf>
    <xf numFmtId="0" fontId="48" fillId="15" borderId="55" xfId="0" applyFont="1" applyFill="1" applyBorder="1" applyAlignment="1">
      <alignment vertical="center"/>
    </xf>
    <xf numFmtId="0" fontId="43" fillId="15" borderId="55" xfId="0" applyFont="1" applyFill="1" applyBorder="1" applyAlignment="1">
      <alignment vertical="center" wrapText="1"/>
    </xf>
    <xf numFmtId="0" fontId="43" fillId="15" borderId="55" xfId="0" applyFont="1" applyFill="1" applyBorder="1" applyAlignment="1">
      <alignment horizontal="center" vertical="center" wrapText="1"/>
    </xf>
    <xf numFmtId="164" fontId="43" fillId="15" borderId="55" xfId="0" applyNumberFormat="1" applyFont="1" applyFill="1" applyBorder="1" applyAlignment="1">
      <alignment vertical="center"/>
    </xf>
    <xf numFmtId="0" fontId="48" fillId="0" borderId="55" xfId="0" applyFont="1" applyBorder="1" applyAlignment="1">
      <alignment vertical="center" wrapText="1"/>
    </xf>
    <xf numFmtId="0" fontId="43" fillId="0" borderId="55" xfId="0" applyFont="1" applyBorder="1" applyAlignment="1">
      <alignment vertical="center" wrapText="1"/>
    </xf>
    <xf numFmtId="0" fontId="51" fillId="0" borderId="55" xfId="0" applyFont="1" applyBorder="1" applyAlignment="1">
      <alignment vertical="center" wrapText="1"/>
    </xf>
    <xf numFmtId="164" fontId="50" fillId="13" borderId="55" xfId="0" applyNumberFormat="1" applyFont="1" applyFill="1" applyBorder="1" applyAlignment="1">
      <alignment vertical="center"/>
    </xf>
    <xf numFmtId="0" fontId="50" fillId="13" borderId="55" xfId="0" applyFont="1" applyFill="1" applyBorder="1" applyAlignment="1">
      <alignment vertical="center"/>
    </xf>
    <xf numFmtId="3" fontId="36" fillId="0" borderId="55" xfId="6" applyNumberFormat="1" applyFont="1" applyFill="1" applyBorder="1" applyAlignment="1">
      <alignment vertical="center"/>
    </xf>
    <xf numFmtId="164" fontId="48" fillId="0" borderId="55" xfId="6" applyNumberFormat="1" applyFont="1" applyFill="1" applyBorder="1" applyAlignment="1">
      <alignment vertical="center"/>
    </xf>
    <xf numFmtId="0" fontId="53" fillId="0" borderId="55" xfId="0" applyFont="1" applyBorder="1" applyAlignment="1">
      <alignment vertical="center"/>
    </xf>
    <xf numFmtId="3" fontId="54" fillId="0" borderId="55" xfId="6" applyNumberFormat="1" applyFont="1" applyFill="1" applyBorder="1" applyAlignment="1">
      <alignment vertical="center"/>
    </xf>
    <xf numFmtId="164" fontId="51" fillId="0" borderId="55" xfId="6" applyNumberFormat="1" applyFont="1" applyFill="1" applyBorder="1" applyAlignment="1">
      <alignment vertical="center"/>
    </xf>
    <xf numFmtId="0" fontId="53" fillId="0" borderId="55" xfId="0" applyFont="1" applyBorder="1" applyAlignment="1">
      <alignment vertical="center" wrapText="1"/>
    </xf>
    <xf numFmtId="0" fontId="53" fillId="0" borderId="55" xfId="0" applyFont="1" applyBorder="1" applyAlignment="1">
      <alignment horizontal="center" vertical="center" wrapText="1"/>
    </xf>
    <xf numFmtId="164" fontId="53" fillId="0" borderId="55" xfId="0" applyNumberFormat="1" applyFont="1" applyBorder="1" applyAlignment="1">
      <alignment vertical="center"/>
    </xf>
    <xf numFmtId="164" fontId="56" fillId="13" borderId="55" xfId="0" applyNumberFormat="1" applyFont="1" applyFill="1" applyBorder="1" applyAlignment="1">
      <alignment vertical="center"/>
    </xf>
    <xf numFmtId="164" fontId="43" fillId="7" borderId="55" xfId="0" applyNumberFormat="1" applyFont="1" applyFill="1" applyBorder="1" applyAlignment="1">
      <alignment vertical="center"/>
    </xf>
    <xf numFmtId="164" fontId="36" fillId="0" borderId="55" xfId="6" applyNumberFormat="1" applyFont="1" applyFill="1" applyBorder="1" applyAlignment="1">
      <alignment vertical="center"/>
    </xf>
    <xf numFmtId="164" fontId="36" fillId="0" borderId="55" xfId="1" applyNumberFormat="1" applyFont="1" applyFill="1" applyBorder="1" applyAlignment="1">
      <alignment horizontal="center" vertical="center"/>
    </xf>
    <xf numFmtId="164" fontId="43" fillId="0" borderId="55" xfId="1" applyNumberFormat="1" applyFont="1" applyFill="1" applyBorder="1" applyAlignment="1">
      <alignment vertical="center"/>
    </xf>
    <xf numFmtId="3" fontId="40" fillId="0" borderId="55" xfId="0" applyNumberFormat="1" applyFont="1" applyBorder="1" applyAlignment="1">
      <alignment vertical="center"/>
    </xf>
    <xf numFmtId="0" fontId="43" fillId="7" borderId="55" xfId="0" applyFont="1" applyFill="1" applyBorder="1" applyAlignment="1">
      <alignment vertical="center"/>
    </xf>
    <xf numFmtId="3" fontId="57" fillId="7" borderId="55" xfId="6" applyNumberFormat="1" applyFont="1" applyFill="1" applyBorder="1" applyAlignment="1">
      <alignment horizontal="left" vertical="center"/>
    </xf>
    <xf numFmtId="3" fontId="43" fillId="7" borderId="55" xfId="0" applyNumberFormat="1" applyFont="1" applyFill="1" applyBorder="1" applyAlignment="1">
      <alignment vertical="center"/>
    </xf>
    <xf numFmtId="0" fontId="48" fillId="7" borderId="55" xfId="0" applyFont="1" applyFill="1" applyBorder="1" applyAlignment="1">
      <alignment vertical="center"/>
    </xf>
    <xf numFmtId="0" fontId="43" fillId="7" borderId="55" xfId="0" applyFont="1" applyFill="1" applyBorder="1" applyAlignment="1">
      <alignment vertical="center" wrapText="1"/>
    </xf>
    <xf numFmtId="0" fontId="43" fillId="7" borderId="55" xfId="0" applyFont="1" applyFill="1" applyBorder="1" applyAlignment="1">
      <alignment horizontal="center" vertical="center" wrapText="1"/>
    </xf>
    <xf numFmtId="0" fontId="43" fillId="17" borderId="55" xfId="0" applyFont="1" applyFill="1" applyBorder="1" applyAlignment="1">
      <alignment vertical="center" wrapText="1"/>
    </xf>
    <xf numFmtId="0" fontId="59" fillId="0" borderId="55" xfId="0" applyFont="1" applyBorder="1" applyAlignment="1">
      <alignment vertical="center"/>
    </xf>
    <xf numFmtId="3" fontId="59" fillId="0" borderId="55" xfId="0" applyNumberFormat="1" applyFont="1" applyBorder="1" applyAlignment="1">
      <alignment vertical="center"/>
    </xf>
    <xf numFmtId="0" fontId="60" fillId="0" borderId="55" xfId="0" applyFont="1" applyBorder="1" applyAlignment="1">
      <alignment vertical="center"/>
    </xf>
    <xf numFmtId="0" fontId="59" fillId="0" borderId="55" xfId="0" applyFont="1" applyBorder="1" applyAlignment="1">
      <alignment vertical="center" wrapText="1"/>
    </xf>
    <xf numFmtId="0" fontId="59" fillId="0" borderId="55" xfId="0" applyFont="1" applyBorder="1" applyAlignment="1">
      <alignment horizontal="center" vertical="center" wrapText="1"/>
    </xf>
    <xf numFmtId="164" fontId="59" fillId="0" borderId="55" xfId="0" applyNumberFormat="1" applyFont="1" applyBorder="1" applyAlignment="1">
      <alignment vertical="center"/>
    </xf>
    <xf numFmtId="164" fontId="59" fillId="13" borderId="55" xfId="0" applyNumberFormat="1" applyFont="1" applyFill="1" applyBorder="1" applyAlignment="1">
      <alignment vertical="center"/>
    </xf>
    <xf numFmtId="0" fontId="59" fillId="13" borderId="55" xfId="0" applyFont="1" applyFill="1" applyBorder="1" applyAlignment="1">
      <alignment vertical="center"/>
    </xf>
    <xf numFmtId="0" fontId="8" fillId="2" borderId="0" xfId="0" applyFont="1" applyFill="1" applyAlignment="1">
      <alignment wrapText="1"/>
    </xf>
    <xf numFmtId="0" fontId="9" fillId="0" borderId="0" xfId="0" applyFont="1" applyAlignment="1">
      <alignment wrapText="1"/>
    </xf>
    <xf numFmtId="0" fontId="12" fillId="0" borderId="4" xfId="0" applyFont="1" applyBorder="1" applyAlignment="1">
      <alignment horizontal="center" vertical="top" wrapText="1"/>
    </xf>
    <xf numFmtId="0" fontId="15" fillId="0" borderId="4" xfId="0" applyFont="1" applyBorder="1"/>
    <xf numFmtId="0" fontId="13" fillId="0" borderId="4" xfId="0" applyFont="1" applyBorder="1" applyAlignment="1">
      <alignment horizontal="center" vertical="top" wrapText="1"/>
    </xf>
    <xf numFmtId="0" fontId="15" fillId="0" borderId="5" xfId="0" applyFont="1" applyBorder="1"/>
    <xf numFmtId="0" fontId="0" fillId="0" borderId="0" xfId="0"/>
    <xf numFmtId="0" fontId="14" fillId="0" borderId="3" xfId="0" applyFont="1" applyBorder="1" applyAlignment="1">
      <alignment horizontal="left" vertical="top" wrapText="1"/>
    </xf>
    <xf numFmtId="0" fontId="14" fillId="0" borderId="3" xfId="0" applyFont="1" applyBorder="1" applyAlignment="1">
      <alignment horizontal="left" wrapText="1"/>
    </xf>
    <xf numFmtId="0" fontId="63" fillId="21" borderId="37" xfId="0" applyFont="1" applyFill="1" applyBorder="1" applyAlignment="1">
      <alignment horizontal="center"/>
    </xf>
    <xf numFmtId="0" fontId="63" fillId="21" borderId="35" xfId="0" applyFont="1" applyFill="1" applyBorder="1" applyAlignment="1">
      <alignment horizontal="center"/>
    </xf>
    <xf numFmtId="0" fontId="63" fillId="21" borderId="36" xfId="0" applyFont="1" applyFill="1" applyBorder="1" applyAlignment="1">
      <alignment horizontal="center"/>
    </xf>
    <xf numFmtId="0" fontId="63" fillId="19" borderId="68" xfId="0" applyFont="1" applyFill="1" applyBorder="1" applyAlignment="1">
      <alignment horizontal="center"/>
    </xf>
    <xf numFmtId="0" fontId="0" fillId="19" borderId="0" xfId="0" applyFill="1"/>
    <xf numFmtId="0" fontId="63" fillId="19" borderId="69" xfId="0" applyFont="1" applyFill="1" applyBorder="1" applyAlignment="1">
      <alignment horizontal="center"/>
    </xf>
    <xf numFmtId="0" fontId="63" fillId="19" borderId="65" xfId="0" applyFont="1" applyFill="1" applyBorder="1" applyAlignment="1">
      <alignment horizontal="center"/>
    </xf>
    <xf numFmtId="0" fontId="0" fillId="19" borderId="27" xfId="0" applyFill="1" applyBorder="1"/>
    <xf numFmtId="0" fontId="63" fillId="21" borderId="34" xfId="0" applyFont="1" applyFill="1" applyBorder="1" applyAlignment="1">
      <alignment horizontal="center"/>
    </xf>
    <xf numFmtId="0" fontId="19" fillId="0" borderId="56" xfId="0" applyFont="1" applyBorder="1" applyAlignment="1">
      <alignment horizontal="center"/>
    </xf>
    <xf numFmtId="0" fontId="19" fillId="0" borderId="57" xfId="0" applyFont="1" applyBorder="1" applyAlignment="1">
      <alignment horizontal="center"/>
    </xf>
    <xf numFmtId="0" fontId="20" fillId="0" borderId="0" xfId="0" applyFont="1" applyAlignment="1">
      <alignment horizontal="left" wrapText="1"/>
    </xf>
    <xf numFmtId="0" fontId="19" fillId="0" borderId="55" xfId="0" applyFont="1" applyBorder="1" applyAlignment="1">
      <alignment horizontal="center" vertical="center"/>
    </xf>
    <xf numFmtId="0" fontId="19" fillId="0" borderId="56" xfId="0" applyFont="1" applyBorder="1" applyAlignment="1">
      <alignment horizontal="center" vertical="center"/>
    </xf>
    <xf numFmtId="0" fontId="19" fillId="0" borderId="57" xfId="0" applyFont="1" applyBorder="1" applyAlignment="1">
      <alignment horizontal="center" vertical="center"/>
    </xf>
    <xf numFmtId="0" fontId="31" fillId="0" borderId="0" xfId="0" applyFont="1" applyAlignment="1">
      <alignment horizontal="center"/>
    </xf>
    <xf numFmtId="0" fontId="32" fillId="0" borderId="55" xfId="0" applyFont="1" applyBorder="1" applyAlignment="1">
      <alignment horizontal="right"/>
    </xf>
    <xf numFmtId="0" fontId="0" fillId="0" borderId="57" xfId="0" applyBorder="1"/>
    <xf numFmtId="0" fontId="0" fillId="0" borderId="59" xfId="0" applyBorder="1"/>
    <xf numFmtId="0" fontId="40" fillId="7" borderId="14" xfId="0" applyFont="1" applyFill="1" applyBorder="1" applyAlignment="1">
      <alignment horizontal="left" vertical="center" wrapText="1"/>
    </xf>
    <xf numFmtId="0" fontId="40" fillId="7" borderId="15" xfId="0" applyFont="1" applyFill="1" applyBorder="1" applyAlignment="1">
      <alignment horizontal="left" vertical="center" wrapText="1"/>
    </xf>
    <xf numFmtId="0" fontId="40" fillId="7" borderId="16" xfId="0" applyFont="1" applyFill="1" applyBorder="1" applyAlignment="1">
      <alignment horizontal="left" vertical="center" wrapText="1"/>
    </xf>
    <xf numFmtId="0" fontId="40" fillId="7" borderId="61" xfId="0" applyFont="1" applyFill="1" applyBorder="1" applyAlignment="1">
      <alignment horizontal="left" vertical="center" wrapText="1"/>
    </xf>
    <xf numFmtId="0" fontId="43" fillId="7" borderId="18" xfId="0" applyFont="1" applyFill="1" applyBorder="1" applyAlignment="1">
      <alignment horizontal="left" vertical="center" wrapText="1"/>
    </xf>
    <xf numFmtId="0" fontId="43" fillId="7" borderId="60" xfId="0" applyFont="1" applyFill="1" applyBorder="1" applyAlignment="1">
      <alignment horizontal="left" vertical="center" wrapText="1"/>
    </xf>
    <xf numFmtId="164" fontId="38" fillId="0" borderId="1" xfId="4" applyNumberFormat="1" applyFont="1" applyAlignment="1">
      <alignment horizontal="center" vertical="center" wrapText="1"/>
    </xf>
    <xf numFmtId="164" fontId="39" fillId="10" borderId="55" xfId="4" applyNumberFormat="1" applyFont="1" applyFill="1" applyBorder="1" applyAlignment="1">
      <alignment horizontal="center" vertical="center" wrapText="1"/>
    </xf>
    <xf numFmtId="164" fontId="40" fillId="10" borderId="55" xfId="4" applyNumberFormat="1" applyFont="1" applyFill="1" applyBorder="1" applyAlignment="1">
      <alignment horizontal="center" vertical="center" wrapText="1"/>
    </xf>
    <xf numFmtId="164" fontId="40" fillId="10" borderId="58" xfId="4" applyNumberFormat="1" applyFont="1" applyFill="1" applyBorder="1" applyAlignment="1">
      <alignment horizontal="center" vertical="center" wrapText="1"/>
    </xf>
    <xf numFmtId="168" fontId="40" fillId="7" borderId="56" xfId="5" applyNumberFormat="1" applyFont="1" applyFill="1" applyBorder="1" applyAlignment="1">
      <alignment horizontal="center" vertical="center" wrapText="1"/>
    </xf>
    <xf numFmtId="168" fontId="40" fillId="7" borderId="57" xfId="5" applyNumberFormat="1" applyFont="1" applyFill="1" applyBorder="1" applyAlignment="1">
      <alignment horizontal="center" vertical="center" wrapText="1"/>
    </xf>
    <xf numFmtId="168" fontId="40" fillId="7" borderId="59" xfId="5" applyNumberFormat="1" applyFont="1" applyFill="1" applyBorder="1" applyAlignment="1">
      <alignment horizontal="center" vertical="center" wrapText="1"/>
    </xf>
    <xf numFmtId="164" fontId="40" fillId="7" borderId="10" xfId="4" applyNumberFormat="1" applyFont="1" applyFill="1" applyBorder="1" applyAlignment="1">
      <alignment horizontal="left" vertical="center" wrapText="1"/>
    </xf>
    <xf numFmtId="164" fontId="40" fillId="7" borderId="11" xfId="4" applyNumberFormat="1" applyFont="1" applyFill="1" applyBorder="1" applyAlignment="1">
      <alignment horizontal="left" vertical="center" wrapText="1"/>
    </xf>
    <xf numFmtId="164" fontId="40" fillId="7" borderId="12" xfId="4" applyNumberFormat="1" applyFont="1" applyFill="1" applyBorder="1" applyAlignment="1">
      <alignment horizontal="left" vertical="center" wrapText="1"/>
    </xf>
    <xf numFmtId="164" fontId="40" fillId="7" borderId="14" xfId="4" applyNumberFormat="1" applyFont="1" applyFill="1" applyBorder="1" applyAlignment="1">
      <alignment horizontal="left" vertical="center" wrapText="1"/>
    </xf>
    <xf numFmtId="164" fontId="40" fillId="7" borderId="15" xfId="4" applyNumberFormat="1" applyFont="1" applyFill="1" applyBorder="1" applyAlignment="1">
      <alignment horizontal="left" vertical="center" wrapText="1"/>
    </xf>
    <xf numFmtId="164" fontId="40" fillId="7" borderId="16" xfId="4" applyNumberFormat="1" applyFont="1" applyFill="1" applyBorder="1" applyAlignment="1">
      <alignment horizontal="left" vertical="center" wrapText="1"/>
    </xf>
    <xf numFmtId="0" fontId="9" fillId="0" borderId="0" xfId="0" applyFont="1" applyAlignment="1">
      <alignment horizontal="center"/>
    </xf>
    <xf numFmtId="0" fontId="12" fillId="0" borderId="58" xfId="0" applyFont="1" applyBorder="1" applyAlignment="1">
      <alignment horizontal="center" vertical="center" wrapText="1"/>
    </xf>
    <xf numFmtId="0" fontId="12" fillId="0" borderId="7" xfId="0" applyFont="1" applyBorder="1" applyAlignment="1">
      <alignment horizontal="center" vertical="center" wrapText="1"/>
    </xf>
    <xf numFmtId="3" fontId="13" fillId="7" borderId="58" xfId="0" quotePrefix="1" applyNumberFormat="1" applyFont="1" applyFill="1" applyBorder="1" applyAlignment="1">
      <alignment horizontal="center" vertical="center" wrapText="1"/>
    </xf>
    <xf numFmtId="3" fontId="13" fillId="7" borderId="7" xfId="0" quotePrefix="1" applyNumberFormat="1" applyFont="1" applyFill="1" applyBorder="1" applyAlignment="1">
      <alignment horizontal="center" vertical="center" wrapText="1"/>
    </xf>
    <xf numFmtId="164" fontId="8" fillId="0" borderId="58" xfId="1" quotePrefix="1" applyNumberFormat="1" applyFont="1" applyFill="1" applyBorder="1" applyAlignment="1">
      <alignment horizontal="left" vertical="center" wrapText="1"/>
    </xf>
    <xf numFmtId="164" fontId="8" fillId="0" borderId="7" xfId="1" quotePrefix="1" applyNumberFormat="1" applyFont="1" applyFill="1" applyBorder="1" applyAlignment="1">
      <alignment horizontal="left" vertical="center" wrapText="1"/>
    </xf>
    <xf numFmtId="0" fontId="12" fillId="0" borderId="55" xfId="0" applyFont="1" applyBorder="1" applyAlignment="1">
      <alignment horizontal="center" vertical="center"/>
    </xf>
    <xf numFmtId="0" fontId="8" fillId="0" borderId="0" xfId="0" applyFont="1" applyAlignment="1">
      <alignment horizontal="center"/>
    </xf>
    <xf numFmtId="0" fontId="12" fillId="0" borderId="58" xfId="0" applyFont="1" applyBorder="1" applyAlignment="1">
      <alignment horizontal="left" vertical="center" wrapText="1"/>
    </xf>
    <xf numFmtId="0" fontId="12" fillId="0" borderId="7" xfId="0" applyFont="1" applyBorder="1" applyAlignment="1">
      <alignment horizontal="left" vertical="center" wrapText="1"/>
    </xf>
    <xf numFmtId="0" fontId="9" fillId="0" borderId="0" xfId="0" applyFont="1" applyAlignment="1">
      <alignment horizontal="left"/>
    </xf>
    <xf numFmtId="0" fontId="23" fillId="0" borderId="0" xfId="0" applyFont="1" applyAlignment="1">
      <alignment horizontal="center"/>
    </xf>
    <xf numFmtId="0" fontId="0" fillId="0" borderId="0" xfId="0" applyAlignment="1">
      <alignment horizontal="center"/>
    </xf>
    <xf numFmtId="0" fontId="12" fillId="0" borderId="9" xfId="0" applyFont="1" applyBorder="1" applyAlignment="1">
      <alignment horizontal="center" vertical="center" wrapText="1"/>
    </xf>
    <xf numFmtId="164" fontId="8" fillId="0" borderId="9" xfId="1" quotePrefix="1" applyNumberFormat="1" applyFont="1" applyFill="1" applyBorder="1" applyAlignment="1">
      <alignment horizontal="left" vertical="center" wrapText="1"/>
    </xf>
    <xf numFmtId="0" fontId="12" fillId="0" borderId="55" xfId="0" applyFont="1" applyBorder="1" applyAlignment="1">
      <alignment horizontal="center" vertical="center" wrapText="1"/>
    </xf>
    <xf numFmtId="0" fontId="13" fillId="0" borderId="58" xfId="0" applyFont="1" applyBorder="1" applyAlignment="1">
      <alignment horizontal="left" vertical="center" wrapText="1"/>
    </xf>
    <xf numFmtId="0" fontId="13" fillId="0" borderId="7" xfId="0" applyFont="1" applyBorder="1" applyAlignment="1">
      <alignment horizontal="left" vertical="center" wrapText="1"/>
    </xf>
  </cellXfs>
  <cellStyles count="11">
    <cellStyle name="Comma" xfId="1" builtinId="3"/>
    <cellStyle name="Comma [0]" xfId="2" builtinId="6"/>
    <cellStyle name="Comma [0] 2 7 2" xfId="5" xr:uid="{9CC63219-4795-2946-9445-64BB9F535DA7}"/>
    <cellStyle name="Comma 100" xfId="4" xr:uid="{0BDD46C1-4D76-F544-95F7-94478DF4C189}"/>
    <cellStyle name="Comma 100 2 2" xfId="6" xr:uid="{643F8DFE-C39A-6649-A2E8-82CF3BCF14F3}"/>
    <cellStyle name="Comma 123 2" xfId="8" xr:uid="{29A7BC7F-E0B9-C44D-9C8A-E2EEC171A399}"/>
    <cellStyle name="Comma 2 2 2 2 8" xfId="7" xr:uid="{B66F15FC-1450-DA43-83DE-44D1BC66E405}"/>
    <cellStyle name="Normal" xfId="0" builtinId="0"/>
    <cellStyle name="Normal 2" xfId="3" xr:uid="{2C20BE3C-11AF-3043-BEF3-034301E0BC6E}"/>
    <cellStyle name="Normal 2 2 34 2" xfId="10" xr:uid="{E495D6D5-AF29-9244-B4BA-6A0190F61F34}"/>
    <cellStyle name="Percent 3 2 9" xfId="9" xr:uid="{3443D8D4-B824-C34F-BAF5-19F1EE9061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iptorg.sharepoint.com/Shared%20Documents/00%20DOCs/05%20BUDGET,%20PLAN,%20KPI/BUDGET%202026/IT.2026.%20BUDGET%20PLANNING.xlsx" TargetMode="External"/><Relationship Id="rId1" Type="http://schemas.openxmlformats.org/officeDocument/2006/relationships/externalLinkPath" Target="https://maiptorg.sharepoint.com/Shared%20Documents/00%20DOCs/05%20BUDGET,%20PLAN,%20KPI/BUDGET%202026/IT.2026.%20BUDGET%20PLANN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ata%20Hiendtt/KE%20TOAN%20THANH%20TOAN/BAO%20CAO/BUDGET%202026/BUDGET%20Expenses%202026_TTTM%20The%20Garden_Hi&#787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G2026"/>
      <sheetName val="Units"/>
      <sheetName val="JSC"/>
      <sheetName val="BFT"/>
      <sheetName val="BFT_Details"/>
      <sheetName val="BFT2025"/>
      <sheetName val="TheGarden"/>
      <sheetName val="Sheet1"/>
      <sheetName val="BHMC"/>
      <sheetName val="DETAILS"/>
    </sheetNames>
    <sheetDataSet>
      <sheetData sheetId="0"/>
      <sheetData sheetId="1"/>
      <sheetData sheetId="2"/>
      <sheetData sheetId="3">
        <row r="41">
          <cell r="K41">
            <v>3608</v>
          </cell>
        </row>
      </sheetData>
      <sheetData sheetId="4"/>
      <sheetData sheetId="5"/>
      <sheetData sheetId="6">
        <row r="49">
          <cell r="D49">
            <v>3176.74</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MKT"/>
      <sheetName val="HR"/>
      <sheetName val="OP"/>
      <sheetName val="Design"/>
      <sheetName val="I.T"/>
      <sheetName val="chi tiết IT 2026"/>
      <sheetName val="pbcp 2026. est 10 BMTL + All"/>
      <sheetName val="KHTS 2026. es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15">
          <cell r="O315">
            <v>205326</v>
          </cell>
          <cell r="P315">
            <v>205326</v>
          </cell>
          <cell r="Q315">
            <v>205326</v>
          </cell>
          <cell r="R315">
            <v>205326</v>
          </cell>
          <cell r="S315">
            <v>205326</v>
          </cell>
          <cell r="T315">
            <v>205326</v>
          </cell>
          <cell r="U315">
            <v>205326</v>
          </cell>
          <cell r="V315">
            <v>205326</v>
          </cell>
          <cell r="W315">
            <v>205326</v>
          </cell>
          <cell r="X315">
            <v>205320</v>
          </cell>
          <cell r="Y315">
            <v>0</v>
          </cell>
          <cell r="Z315">
            <v>0</v>
          </cell>
        </row>
        <row r="316">
          <cell r="O316">
            <v>200847</v>
          </cell>
          <cell r="P316">
            <v>200847</v>
          </cell>
          <cell r="Q316">
            <v>200847</v>
          </cell>
          <cell r="R316">
            <v>200847</v>
          </cell>
          <cell r="S316">
            <v>200847</v>
          </cell>
          <cell r="T316">
            <v>200847</v>
          </cell>
          <cell r="U316">
            <v>200847</v>
          </cell>
          <cell r="V316">
            <v>200847</v>
          </cell>
          <cell r="W316">
            <v>200847</v>
          </cell>
          <cell r="X316">
            <v>200847</v>
          </cell>
          <cell r="Y316">
            <v>200847</v>
          </cell>
          <cell r="Z316">
            <v>200847</v>
          </cell>
        </row>
        <row r="317">
          <cell r="O317">
            <v>875000</v>
          </cell>
          <cell r="P317">
            <v>875000</v>
          </cell>
          <cell r="Q317">
            <v>875000</v>
          </cell>
          <cell r="R317">
            <v>875000</v>
          </cell>
        </row>
      </sheetData>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9"/>
  <sheetViews>
    <sheetView tabSelected="1" workbookViewId="0">
      <pane xSplit="2" ySplit="10" topLeftCell="C11" activePane="bottomRight" state="frozen"/>
      <selection pane="topRight" activeCell="C1" sqref="C1"/>
      <selection pane="bottomLeft" activeCell="A11" sqref="A11"/>
      <selection pane="bottomRight" activeCell="B18" sqref="B18"/>
    </sheetView>
  </sheetViews>
  <sheetFormatPr baseColWidth="10" defaultColWidth="14.5" defaultRowHeight="15" customHeight="1"/>
  <cols>
    <col min="1" max="1" width="5.5" style="39" customWidth="1"/>
    <col min="2" max="2" width="47.6640625" customWidth="1"/>
    <col min="3" max="4" width="35.83203125" customWidth="1"/>
    <col min="5" max="5" width="0.5" customWidth="1"/>
    <col min="6" max="7" width="15.83203125" customWidth="1"/>
    <col min="8" max="8" width="15.83203125" style="71" customWidth="1"/>
    <col min="9" max="32" width="15.83203125" customWidth="1"/>
    <col min="33" max="33" width="16.5" customWidth="1"/>
  </cols>
  <sheetData>
    <row r="1" spans="1:33" ht="14.25" customHeight="1">
      <c r="A1" s="37" t="s">
        <v>0</v>
      </c>
      <c r="I1" s="2"/>
      <c r="J1" s="2"/>
      <c r="K1" s="2"/>
      <c r="L1" s="2"/>
      <c r="M1" s="2"/>
      <c r="N1" s="2"/>
      <c r="O1" s="2"/>
      <c r="P1" s="2"/>
      <c r="Q1" s="2"/>
      <c r="R1" s="2"/>
      <c r="S1" s="2"/>
    </row>
    <row r="2" spans="1:33" ht="9" customHeight="1">
      <c r="A2" s="37"/>
      <c r="B2" s="3" t="s">
        <v>1</v>
      </c>
      <c r="C2" s="1" t="s">
        <v>2</v>
      </c>
      <c r="D2" s="4"/>
      <c r="E2" s="4"/>
      <c r="F2" s="4"/>
      <c r="G2" s="4"/>
      <c r="H2" s="72"/>
      <c r="I2" s="5"/>
      <c r="J2" s="5"/>
      <c r="K2" s="5"/>
      <c r="L2" s="5"/>
      <c r="M2" s="5"/>
      <c r="N2" s="5"/>
      <c r="O2" s="5"/>
      <c r="P2" s="5"/>
      <c r="Q2" s="5"/>
      <c r="R2" s="5"/>
      <c r="S2" s="5"/>
      <c r="T2" s="4"/>
      <c r="U2" s="4"/>
      <c r="V2" s="4"/>
      <c r="W2" s="4"/>
      <c r="X2" s="4"/>
      <c r="Y2" s="4"/>
      <c r="Z2" s="4"/>
      <c r="AA2" s="4"/>
      <c r="AB2" s="4"/>
      <c r="AC2" s="4"/>
      <c r="AD2" s="4"/>
      <c r="AE2" s="4"/>
      <c r="AF2" s="4"/>
      <c r="AG2" s="4"/>
    </row>
    <row r="3" spans="1:33" ht="9" customHeight="1">
      <c r="A3" s="37"/>
      <c r="B3" s="6" t="s">
        <v>3</v>
      </c>
      <c r="C3" s="7" t="s">
        <v>4</v>
      </c>
      <c r="D3" s="4"/>
      <c r="E3" s="4"/>
      <c r="F3" s="4"/>
      <c r="G3" s="4"/>
      <c r="H3" s="72"/>
      <c r="I3" s="5"/>
      <c r="J3" s="5"/>
      <c r="K3" s="5"/>
      <c r="L3" s="5"/>
      <c r="M3" s="5"/>
      <c r="N3" s="5"/>
      <c r="O3" s="5"/>
      <c r="P3" s="5"/>
      <c r="Q3" s="5"/>
      <c r="R3" s="5"/>
      <c r="S3" s="5"/>
      <c r="T3" s="4"/>
      <c r="U3" s="4"/>
      <c r="V3" s="4"/>
      <c r="W3" s="4"/>
      <c r="X3" s="4"/>
      <c r="Y3" s="4"/>
      <c r="Z3" s="4"/>
      <c r="AA3" s="4"/>
      <c r="AB3" s="4"/>
      <c r="AC3" s="4"/>
      <c r="AD3" s="4"/>
      <c r="AE3" s="4"/>
      <c r="AF3" s="4"/>
      <c r="AG3" s="4"/>
    </row>
    <row r="4" spans="1:33" ht="9" customHeight="1">
      <c r="A4" s="37"/>
      <c r="B4" s="8" t="s">
        <v>5</v>
      </c>
      <c r="C4" s="1" t="s">
        <v>6</v>
      </c>
      <c r="D4" s="4"/>
      <c r="E4" s="4"/>
      <c r="F4" s="4"/>
      <c r="G4" s="4"/>
      <c r="H4" s="72"/>
      <c r="I4" s="5"/>
      <c r="J4" s="5"/>
      <c r="K4" s="5"/>
      <c r="L4" s="5"/>
      <c r="M4" s="5"/>
      <c r="N4" s="5"/>
      <c r="O4" s="5"/>
      <c r="P4" s="5"/>
      <c r="Q4" s="5"/>
      <c r="R4" s="5"/>
      <c r="S4" s="5"/>
      <c r="T4" s="4"/>
      <c r="U4" s="4"/>
      <c r="V4" s="4"/>
      <c r="W4" s="4"/>
      <c r="X4" s="4"/>
      <c r="Y4" s="4"/>
      <c r="Z4" s="4"/>
      <c r="AA4" s="4"/>
      <c r="AB4" s="4"/>
      <c r="AC4" s="4"/>
      <c r="AD4" s="4"/>
      <c r="AE4" s="4"/>
      <c r="AF4" s="4"/>
      <c r="AG4" s="4"/>
    </row>
    <row r="5" spans="1:33" ht="9" customHeight="1">
      <c r="A5" s="37"/>
      <c r="B5" s="6" t="s">
        <v>7</v>
      </c>
      <c r="C5" s="7" t="s">
        <v>8</v>
      </c>
      <c r="D5" s="4"/>
      <c r="E5" s="4"/>
      <c r="F5" s="4"/>
      <c r="G5" s="4"/>
      <c r="H5" s="72"/>
      <c r="I5" s="5"/>
      <c r="J5" s="5"/>
      <c r="K5" s="5"/>
      <c r="L5" s="5"/>
      <c r="M5" s="5"/>
      <c r="N5" s="5"/>
      <c r="O5" s="5"/>
      <c r="P5" s="5"/>
      <c r="Q5" s="5"/>
      <c r="R5" s="5"/>
      <c r="S5" s="5"/>
      <c r="T5" s="4"/>
      <c r="U5" s="4"/>
      <c r="V5" s="4"/>
      <c r="W5" s="4"/>
      <c r="X5" s="4"/>
      <c r="Y5" s="4"/>
      <c r="Z5" s="4"/>
      <c r="AA5" s="4"/>
      <c r="AB5" s="4"/>
      <c r="AC5" s="4"/>
      <c r="AD5" s="4"/>
      <c r="AE5" s="4"/>
      <c r="AF5" s="4"/>
      <c r="AG5" s="4"/>
    </row>
    <row r="6" spans="1:33" ht="9" customHeight="1">
      <c r="A6" s="38"/>
      <c r="B6" s="8" t="s">
        <v>9</v>
      </c>
      <c r="C6" s="3" t="s">
        <v>10</v>
      </c>
      <c r="D6" s="4"/>
      <c r="E6" s="4"/>
      <c r="F6" s="4"/>
      <c r="G6" s="4"/>
      <c r="H6" s="72"/>
      <c r="I6" s="5"/>
      <c r="J6" s="5"/>
      <c r="K6" s="5"/>
      <c r="L6" s="5"/>
      <c r="M6" s="5"/>
      <c r="N6" s="5"/>
      <c r="O6" s="5"/>
      <c r="P6" s="5"/>
      <c r="Q6" s="5"/>
      <c r="R6" s="5"/>
      <c r="S6" s="5"/>
      <c r="T6" s="4"/>
      <c r="U6" s="4"/>
      <c r="V6" s="4"/>
      <c r="W6" s="4"/>
      <c r="X6" s="4"/>
      <c r="Y6" s="4"/>
      <c r="Z6" s="4"/>
      <c r="AA6" s="4"/>
      <c r="AB6" s="4"/>
      <c r="AC6" s="4"/>
      <c r="AD6" s="4"/>
      <c r="AE6" s="4"/>
      <c r="AF6" s="4"/>
      <c r="AG6" s="4"/>
    </row>
    <row r="7" spans="1:33" ht="16" customHeight="1">
      <c r="B7" s="9"/>
      <c r="C7" s="10"/>
      <c r="E7" s="502" t="s">
        <v>11</v>
      </c>
      <c r="I7" s="11" t="s">
        <v>12</v>
      </c>
      <c r="J7" s="12"/>
      <c r="K7" s="12"/>
      <c r="L7" s="12"/>
      <c r="M7" s="12"/>
      <c r="N7" s="12"/>
      <c r="O7" s="12"/>
      <c r="P7" s="12"/>
      <c r="Q7" s="12"/>
      <c r="R7" s="12"/>
      <c r="S7" s="12"/>
      <c r="T7" s="13"/>
      <c r="U7" s="13"/>
      <c r="V7" s="13"/>
      <c r="W7" s="13"/>
      <c r="X7" s="13"/>
      <c r="Y7" s="13"/>
      <c r="Z7" s="13"/>
      <c r="AA7" s="13"/>
      <c r="AB7" s="13"/>
      <c r="AC7" s="13"/>
      <c r="AD7" s="13"/>
      <c r="AE7" s="13"/>
      <c r="AF7" s="13"/>
      <c r="AG7" s="13"/>
    </row>
    <row r="8" spans="1:33" ht="14" customHeight="1">
      <c r="A8" s="40"/>
      <c r="B8" s="14"/>
      <c r="C8" s="14"/>
      <c r="D8" s="14"/>
      <c r="E8" s="503" t="s">
        <v>13</v>
      </c>
      <c r="F8" s="14"/>
      <c r="G8" s="14"/>
      <c r="H8" s="73"/>
      <c r="I8" s="14" t="s">
        <v>14</v>
      </c>
      <c r="J8" s="14"/>
      <c r="K8" s="14"/>
      <c r="L8" s="14"/>
      <c r="M8" s="14"/>
      <c r="N8" s="14"/>
      <c r="O8" s="14"/>
      <c r="P8" s="14"/>
      <c r="Q8" s="14"/>
      <c r="R8" s="14"/>
      <c r="S8" s="14"/>
      <c r="T8" s="14"/>
      <c r="U8" s="14"/>
      <c r="V8" s="14"/>
      <c r="W8" s="14"/>
      <c r="X8" s="14"/>
      <c r="Y8" s="14"/>
      <c r="Z8" s="14"/>
      <c r="AA8" s="14"/>
      <c r="AB8" s="14"/>
      <c r="AC8" s="14"/>
      <c r="AD8" s="14"/>
      <c r="AE8" s="14"/>
      <c r="AF8" s="14"/>
      <c r="AG8" s="14"/>
    </row>
    <row r="9" spans="1:33" ht="49" customHeight="1">
      <c r="A9" s="41" t="s">
        <v>15</v>
      </c>
      <c r="B9" s="15" t="s">
        <v>16</v>
      </c>
      <c r="C9" s="15" t="s">
        <v>17</v>
      </c>
      <c r="D9" s="15" t="s">
        <v>18</v>
      </c>
      <c r="E9" s="16" t="s">
        <v>19</v>
      </c>
      <c r="F9" s="15" t="s">
        <v>25</v>
      </c>
      <c r="G9" s="15" t="s">
        <v>26</v>
      </c>
      <c r="H9" s="70" t="s">
        <v>27</v>
      </c>
      <c r="I9" s="17" t="s">
        <v>28</v>
      </c>
      <c r="J9" s="17" t="s">
        <v>29</v>
      </c>
      <c r="K9" s="17" t="s">
        <v>30</v>
      </c>
      <c r="L9" s="17" t="s">
        <v>31</v>
      </c>
      <c r="M9" s="17" t="s">
        <v>32</v>
      </c>
      <c r="N9" s="17" t="s">
        <v>33</v>
      </c>
      <c r="O9" s="17" t="s">
        <v>34</v>
      </c>
      <c r="P9" s="17" t="s">
        <v>35</v>
      </c>
      <c r="Q9" s="17" t="s">
        <v>36</v>
      </c>
      <c r="R9" s="17" t="s">
        <v>37</v>
      </c>
      <c r="S9" s="17" t="s">
        <v>38</v>
      </c>
      <c r="T9" s="18" t="s">
        <v>39</v>
      </c>
      <c r="U9" s="19"/>
      <c r="V9" s="19"/>
      <c r="W9" s="19"/>
      <c r="X9" s="19"/>
      <c r="Y9" s="19"/>
      <c r="Z9" s="19"/>
      <c r="AA9" s="19"/>
      <c r="AB9" s="19"/>
      <c r="AC9" s="19"/>
      <c r="AD9" s="19"/>
      <c r="AE9" s="19"/>
      <c r="AF9" s="19"/>
      <c r="AG9" s="19"/>
    </row>
    <row r="10" spans="1:33" ht="14.25" customHeight="1">
      <c r="A10" s="42" t="s">
        <v>40</v>
      </c>
      <c r="B10" s="20" t="s">
        <v>41</v>
      </c>
      <c r="C10" s="21"/>
      <c r="D10" s="21"/>
      <c r="E10" s="22"/>
      <c r="F10" s="509" t="s">
        <v>42</v>
      </c>
      <c r="G10" s="510" t="s">
        <v>43</v>
      </c>
      <c r="H10" s="74"/>
      <c r="I10" s="23" t="s">
        <v>44</v>
      </c>
      <c r="J10" s="24" t="s">
        <v>45</v>
      </c>
      <c r="K10" s="24" t="s">
        <v>45</v>
      </c>
      <c r="L10" s="24" t="s">
        <v>45</v>
      </c>
      <c r="M10" s="24" t="s">
        <v>45</v>
      </c>
      <c r="N10" s="24" t="s">
        <v>45</v>
      </c>
      <c r="O10" s="24" t="s">
        <v>45</v>
      </c>
      <c r="P10" s="24" t="s">
        <v>45</v>
      </c>
      <c r="Q10" s="24" t="s">
        <v>45</v>
      </c>
      <c r="R10" s="24" t="s">
        <v>45</v>
      </c>
      <c r="S10" s="24" t="s">
        <v>45</v>
      </c>
      <c r="T10" s="24" t="s">
        <v>45</v>
      </c>
      <c r="U10" s="25"/>
      <c r="V10" s="25"/>
      <c r="W10" s="25"/>
      <c r="X10" s="25"/>
      <c r="Y10" s="25"/>
      <c r="Z10" s="25"/>
      <c r="AA10" s="25"/>
      <c r="AB10" s="25"/>
      <c r="AC10" s="25"/>
      <c r="AD10" s="25"/>
      <c r="AE10" s="25"/>
      <c r="AF10" s="25"/>
      <c r="AG10" s="25"/>
    </row>
    <row r="11" spans="1:33" ht="28" customHeight="1">
      <c r="A11" s="290">
        <v>1</v>
      </c>
      <c r="B11" s="36" t="s">
        <v>46</v>
      </c>
      <c r="C11" s="36" t="s">
        <v>47</v>
      </c>
      <c r="D11" s="36" t="s">
        <v>48</v>
      </c>
      <c r="E11" s="19"/>
      <c r="F11" s="505"/>
      <c r="G11" s="505"/>
      <c r="H11" s="74"/>
      <c r="I11" s="24"/>
      <c r="J11" s="24"/>
      <c r="K11" s="24"/>
      <c r="L11" s="24"/>
      <c r="M11" s="24"/>
      <c r="N11" s="24"/>
      <c r="O11" s="24"/>
      <c r="P11" s="24"/>
      <c r="Q11" s="24"/>
      <c r="R11" s="24"/>
      <c r="S11" s="24"/>
      <c r="T11" s="24"/>
      <c r="U11" s="25"/>
      <c r="V11" s="25"/>
      <c r="W11" s="25"/>
      <c r="X11" s="25"/>
      <c r="Y11" s="25"/>
      <c r="Z11" s="25"/>
      <c r="AA11" s="25"/>
      <c r="AB11" s="25"/>
      <c r="AC11" s="25"/>
      <c r="AD11" s="25"/>
      <c r="AE11" s="25"/>
      <c r="AF11" s="25"/>
      <c r="AG11" s="25"/>
    </row>
    <row r="12" spans="1:33" ht="14.25" customHeight="1">
      <c r="A12" s="290">
        <v>3</v>
      </c>
      <c r="B12" s="36" t="s">
        <v>49</v>
      </c>
      <c r="C12" s="36" t="s">
        <v>50</v>
      </c>
      <c r="D12" s="36" t="s">
        <v>51</v>
      </c>
      <c r="E12" s="19"/>
      <c r="F12" s="505"/>
      <c r="G12" s="505"/>
      <c r="H12" s="74"/>
      <c r="I12" s="24"/>
      <c r="J12" s="24"/>
      <c r="K12" s="24"/>
      <c r="L12" s="24"/>
      <c r="M12" s="24"/>
      <c r="N12" s="24"/>
      <c r="O12" s="24"/>
      <c r="P12" s="24"/>
      <c r="Q12" s="24"/>
      <c r="R12" s="24"/>
      <c r="S12" s="24"/>
      <c r="T12" s="24"/>
      <c r="U12" s="25"/>
      <c r="V12" s="25"/>
      <c r="W12" s="25"/>
      <c r="X12" s="25"/>
      <c r="Y12" s="25"/>
      <c r="Z12" s="25"/>
      <c r="AA12" s="25"/>
      <c r="AB12" s="25"/>
      <c r="AC12" s="25"/>
      <c r="AD12" s="25"/>
      <c r="AE12" s="25"/>
      <c r="AF12" s="25"/>
      <c r="AG12" s="25"/>
    </row>
    <row r="13" spans="1:33" ht="14.25" customHeight="1">
      <c r="A13" s="290">
        <v>4</v>
      </c>
      <c r="B13" s="36" t="s">
        <v>52</v>
      </c>
      <c r="C13" s="36" t="s">
        <v>53</v>
      </c>
      <c r="D13" s="36" t="s">
        <v>54</v>
      </c>
      <c r="E13" s="19"/>
      <c r="F13" s="505"/>
      <c r="G13" s="505"/>
      <c r="H13" s="74"/>
      <c r="I13" s="24"/>
      <c r="J13" s="24"/>
      <c r="K13" s="24"/>
      <c r="L13" s="24"/>
      <c r="M13" s="24"/>
      <c r="N13" s="24"/>
      <c r="O13" s="24"/>
      <c r="P13" s="24"/>
      <c r="Q13" s="24"/>
      <c r="R13" s="24"/>
      <c r="S13" s="24"/>
      <c r="T13" s="24"/>
      <c r="U13" s="25"/>
      <c r="V13" s="25"/>
      <c r="W13" s="25"/>
      <c r="X13" s="25"/>
      <c r="Y13" s="25"/>
      <c r="Z13" s="25"/>
      <c r="AA13" s="25"/>
      <c r="AB13" s="25"/>
      <c r="AC13" s="25"/>
      <c r="AD13" s="25"/>
      <c r="AE13" s="25"/>
      <c r="AF13" s="25"/>
      <c r="AG13" s="25"/>
    </row>
    <row r="14" spans="1:33" ht="14.25" customHeight="1">
      <c r="A14" s="290">
        <v>5</v>
      </c>
      <c r="B14" s="36" t="s">
        <v>55</v>
      </c>
      <c r="C14" s="36" t="s">
        <v>56</v>
      </c>
      <c r="D14" s="36" t="s">
        <v>57</v>
      </c>
      <c r="E14" s="19"/>
      <c r="F14" s="505"/>
      <c r="G14" s="505"/>
      <c r="H14" s="74"/>
      <c r="I14" s="24"/>
      <c r="J14" s="24"/>
      <c r="K14" s="24"/>
      <c r="L14" s="24"/>
      <c r="M14" s="24"/>
      <c r="N14" s="24"/>
      <c r="O14" s="24"/>
      <c r="P14" s="24"/>
      <c r="Q14" s="24"/>
      <c r="R14" s="24"/>
      <c r="S14" s="24"/>
      <c r="T14" s="24"/>
      <c r="U14" s="25"/>
      <c r="V14" s="25"/>
      <c r="W14" s="25"/>
      <c r="X14" s="25"/>
      <c r="Y14" s="25"/>
      <c r="Z14" s="25"/>
      <c r="AA14" s="25"/>
      <c r="AB14" s="25"/>
      <c r="AC14" s="25"/>
      <c r="AD14" s="25"/>
      <c r="AE14" s="25"/>
      <c r="AF14" s="25"/>
      <c r="AG14" s="25"/>
    </row>
    <row r="15" spans="1:33" ht="14.25" customHeight="1">
      <c r="A15" s="290">
        <v>6</v>
      </c>
      <c r="B15" s="36" t="s">
        <v>58</v>
      </c>
      <c r="C15" s="36" t="s">
        <v>59</v>
      </c>
      <c r="D15" s="36" t="s">
        <v>60</v>
      </c>
      <c r="E15" s="19"/>
      <c r="F15" s="505"/>
      <c r="G15" s="505"/>
      <c r="H15" s="74"/>
      <c r="I15" s="24"/>
      <c r="J15" s="24"/>
      <c r="K15" s="24"/>
      <c r="L15" s="24"/>
      <c r="M15" s="24"/>
      <c r="N15" s="24"/>
      <c r="O15" s="24"/>
      <c r="P15" s="24"/>
      <c r="Q15" s="24"/>
      <c r="R15" s="24"/>
      <c r="S15" s="24"/>
      <c r="T15" s="24"/>
      <c r="U15" s="25"/>
      <c r="V15" s="25"/>
      <c r="W15" s="25"/>
      <c r="X15" s="25"/>
      <c r="Y15" s="25"/>
      <c r="Z15" s="25"/>
      <c r="AA15" s="25"/>
      <c r="AB15" s="25"/>
      <c r="AC15" s="25"/>
      <c r="AD15" s="25"/>
      <c r="AE15" s="25"/>
      <c r="AF15" s="25"/>
      <c r="AG15" s="25"/>
    </row>
    <row r="16" spans="1:33" ht="14.25" customHeight="1">
      <c r="A16" s="290">
        <v>7</v>
      </c>
      <c r="B16" s="36" t="s">
        <v>61</v>
      </c>
      <c r="C16" s="36" t="s">
        <v>62</v>
      </c>
      <c r="D16" s="36" t="s">
        <v>62</v>
      </c>
      <c r="E16" s="19"/>
      <c r="F16" s="505"/>
      <c r="G16" s="505"/>
      <c r="H16" s="74"/>
      <c r="I16" s="24"/>
      <c r="J16" s="24"/>
      <c r="K16" s="24"/>
      <c r="L16" s="24"/>
      <c r="M16" s="24"/>
      <c r="N16" s="24"/>
      <c r="O16" s="24"/>
      <c r="P16" s="24"/>
      <c r="Q16" s="24"/>
      <c r="R16" s="24"/>
      <c r="S16" s="24"/>
      <c r="T16" s="24"/>
      <c r="U16" s="25"/>
      <c r="V16" s="25"/>
      <c r="W16" s="25"/>
      <c r="X16" s="25"/>
      <c r="Y16" s="25"/>
      <c r="Z16" s="25"/>
      <c r="AA16" s="25"/>
      <c r="AB16" s="25"/>
      <c r="AC16" s="25"/>
      <c r="AD16" s="25"/>
      <c r="AE16" s="25"/>
      <c r="AF16" s="25"/>
      <c r="AG16" s="25"/>
    </row>
    <row r="17" spans="1:33" ht="18" customHeight="1">
      <c r="A17" s="290">
        <v>8</v>
      </c>
      <c r="B17" s="36" t="s">
        <v>63</v>
      </c>
      <c r="C17" s="36" t="s">
        <v>64</v>
      </c>
      <c r="D17" s="36" t="s">
        <v>65</v>
      </c>
      <c r="E17" s="19"/>
      <c r="F17" s="507"/>
      <c r="G17" s="507"/>
      <c r="H17" s="74"/>
      <c r="I17" s="24"/>
      <c r="J17" s="24"/>
      <c r="K17" s="24"/>
      <c r="L17" s="24"/>
      <c r="M17" s="24"/>
      <c r="N17" s="24"/>
      <c r="O17" s="24"/>
      <c r="P17" s="24"/>
      <c r="Q17" s="24"/>
      <c r="R17" s="24"/>
      <c r="S17" s="24"/>
      <c r="T17" s="24"/>
      <c r="U17" s="25"/>
      <c r="V17" s="25"/>
      <c r="W17" s="25"/>
      <c r="X17" s="25"/>
      <c r="Y17" s="25"/>
      <c r="Z17" s="25"/>
      <c r="AA17" s="25"/>
      <c r="AB17" s="25"/>
      <c r="AC17" s="25"/>
      <c r="AD17" s="25"/>
      <c r="AE17" s="25"/>
      <c r="AF17" s="25"/>
      <c r="AG17" s="25"/>
    </row>
    <row r="18" spans="1:33" ht="14.25" customHeight="1">
      <c r="A18" s="42" t="s">
        <v>66</v>
      </c>
      <c r="B18" s="23" t="s">
        <v>67</v>
      </c>
      <c r="C18" s="24"/>
      <c r="D18" s="24"/>
      <c r="E18" s="19"/>
      <c r="F18" s="27"/>
      <c r="G18" s="27"/>
      <c r="H18" s="74"/>
      <c r="I18" s="24"/>
      <c r="J18" s="24"/>
      <c r="K18" s="24"/>
      <c r="L18" s="24"/>
      <c r="M18" s="24"/>
      <c r="N18" s="24"/>
      <c r="O18" s="24"/>
      <c r="P18" s="24"/>
      <c r="Q18" s="24"/>
      <c r="R18" s="24"/>
      <c r="S18" s="24"/>
      <c r="T18" s="24"/>
      <c r="U18" s="25"/>
      <c r="V18" s="25"/>
      <c r="W18" s="25"/>
      <c r="X18" s="25"/>
      <c r="Y18" s="25"/>
      <c r="Z18" s="25"/>
      <c r="AA18" s="25"/>
      <c r="AB18" s="25"/>
      <c r="AC18" s="25"/>
      <c r="AD18" s="25"/>
      <c r="AE18" s="25"/>
      <c r="AF18" s="25"/>
      <c r="AG18" s="25"/>
    </row>
    <row r="19" spans="1:33" ht="46" customHeight="1">
      <c r="A19" s="290">
        <v>1</v>
      </c>
      <c r="B19" s="43" t="s">
        <v>68</v>
      </c>
      <c r="C19" s="43" t="s">
        <v>69</v>
      </c>
      <c r="D19" s="43" t="s">
        <v>70</v>
      </c>
      <c r="E19" s="19"/>
      <c r="F19" s="27" t="s">
        <v>71</v>
      </c>
      <c r="G19" s="27" t="s">
        <v>72</v>
      </c>
      <c r="H19" s="74">
        <f>ACC_FIN!C13</f>
        <v>21.849999999999998</v>
      </c>
      <c r="I19" s="24" t="s">
        <v>73</v>
      </c>
      <c r="J19" s="23" t="s">
        <v>44</v>
      </c>
      <c r="K19" s="24" t="s">
        <v>45</v>
      </c>
      <c r="L19" s="24" t="s">
        <v>45</v>
      </c>
      <c r="M19" s="24" t="s">
        <v>45</v>
      </c>
      <c r="N19" s="24" t="s">
        <v>45</v>
      </c>
      <c r="O19" s="24" t="s">
        <v>45</v>
      </c>
      <c r="P19" s="24" t="s">
        <v>45</v>
      </c>
      <c r="Q19" s="24" t="s">
        <v>45</v>
      </c>
      <c r="R19" s="24" t="s">
        <v>45</v>
      </c>
      <c r="S19" s="24" t="s">
        <v>45</v>
      </c>
      <c r="T19" s="24" t="s">
        <v>45</v>
      </c>
      <c r="U19" s="25"/>
      <c r="V19" s="25"/>
      <c r="W19" s="25"/>
      <c r="X19" s="25"/>
      <c r="Y19" s="25"/>
      <c r="Z19" s="25"/>
      <c r="AA19" s="25"/>
      <c r="AB19" s="25"/>
      <c r="AC19" s="25"/>
      <c r="AD19" s="25"/>
      <c r="AE19" s="25"/>
      <c r="AF19" s="25"/>
      <c r="AG19" s="25"/>
    </row>
    <row r="20" spans="1:33" ht="21" customHeight="1">
      <c r="A20" s="290"/>
      <c r="B20" s="43" t="s">
        <v>74</v>
      </c>
      <c r="C20" s="43" t="s">
        <v>75</v>
      </c>
      <c r="D20" s="43" t="s">
        <v>76</v>
      </c>
      <c r="E20" s="19"/>
      <c r="F20" s="27" t="s">
        <v>0</v>
      </c>
      <c r="G20" s="27" t="s">
        <v>77</v>
      </c>
      <c r="H20" s="74">
        <f>'HR.ADM.LEGAL'!E20</f>
        <v>2.0300000000000002</v>
      </c>
      <c r="I20" s="24" t="s">
        <v>73</v>
      </c>
      <c r="J20" s="24" t="s">
        <v>45</v>
      </c>
      <c r="K20" s="24" t="s">
        <v>45</v>
      </c>
      <c r="L20" s="23" t="s">
        <v>44</v>
      </c>
      <c r="M20" s="24" t="s">
        <v>45</v>
      </c>
      <c r="N20" s="23" t="s">
        <v>44</v>
      </c>
      <c r="O20" s="24" t="s">
        <v>45</v>
      </c>
      <c r="P20" s="24" t="s">
        <v>45</v>
      </c>
      <c r="Q20" s="23" t="s">
        <v>44</v>
      </c>
      <c r="R20" s="24" t="s">
        <v>45</v>
      </c>
      <c r="S20" s="23" t="s">
        <v>44</v>
      </c>
      <c r="T20" s="23" t="s">
        <v>44</v>
      </c>
      <c r="U20" s="25"/>
      <c r="V20" s="25"/>
      <c r="W20" s="25"/>
      <c r="X20" s="25"/>
      <c r="Y20" s="25"/>
      <c r="Z20" s="25"/>
      <c r="AA20" s="25"/>
      <c r="AB20" s="25"/>
      <c r="AC20" s="25"/>
      <c r="AD20" s="25"/>
      <c r="AE20" s="25"/>
      <c r="AF20" s="25"/>
      <c r="AG20" s="25"/>
    </row>
    <row r="21" spans="1:33" ht="32" customHeight="1">
      <c r="A21" s="290"/>
      <c r="B21" s="43" t="s">
        <v>78</v>
      </c>
      <c r="C21" s="43"/>
      <c r="D21" s="43"/>
      <c r="E21" s="19"/>
      <c r="F21" s="27" t="s">
        <v>71</v>
      </c>
      <c r="G21" s="27" t="s">
        <v>79</v>
      </c>
      <c r="H21" s="74">
        <f>DMD!C3</f>
        <v>2.75</v>
      </c>
      <c r="I21" s="24"/>
      <c r="J21" s="24"/>
      <c r="K21" s="24"/>
      <c r="L21" s="23"/>
      <c r="M21" s="24"/>
      <c r="N21" s="23"/>
      <c r="O21" s="24"/>
      <c r="P21" s="24"/>
      <c r="Q21" s="23"/>
      <c r="R21" s="24"/>
      <c r="S21" s="23"/>
      <c r="T21" s="23"/>
      <c r="U21" s="25"/>
      <c r="V21" s="25"/>
      <c r="W21" s="25"/>
      <c r="X21" s="25"/>
      <c r="Y21" s="25"/>
      <c r="Z21" s="25"/>
      <c r="AA21" s="25"/>
      <c r="AB21" s="25"/>
      <c r="AC21" s="25"/>
      <c r="AD21" s="25"/>
      <c r="AE21" s="25"/>
      <c r="AF21" s="25"/>
      <c r="AG21" s="25"/>
    </row>
    <row r="22" spans="1:33" ht="48" customHeight="1">
      <c r="A22" s="290">
        <v>2</v>
      </c>
      <c r="B22" s="36" t="s">
        <v>80</v>
      </c>
      <c r="C22" s="36" t="s">
        <v>81</v>
      </c>
      <c r="D22" s="36" t="s">
        <v>82</v>
      </c>
      <c r="E22" s="19"/>
      <c r="F22" s="27" t="s">
        <v>0</v>
      </c>
      <c r="G22" s="27" t="s">
        <v>83</v>
      </c>
      <c r="H22" s="74">
        <f>MKT.SALES!D26</f>
        <v>5</v>
      </c>
      <c r="I22" s="24" t="s">
        <v>73</v>
      </c>
      <c r="J22" s="23" t="s">
        <v>44</v>
      </c>
      <c r="K22" s="24" t="s">
        <v>45</v>
      </c>
      <c r="L22" s="24" t="s">
        <v>45</v>
      </c>
      <c r="M22" s="24" t="s">
        <v>45</v>
      </c>
      <c r="N22" s="24" t="s">
        <v>45</v>
      </c>
      <c r="O22" s="24" t="s">
        <v>45</v>
      </c>
      <c r="P22" s="24" t="s">
        <v>45</v>
      </c>
      <c r="Q22" s="24" t="s">
        <v>45</v>
      </c>
      <c r="R22" s="24" t="s">
        <v>45</v>
      </c>
      <c r="S22" s="24"/>
      <c r="T22" s="24"/>
      <c r="U22" s="25"/>
      <c r="V22" s="25"/>
      <c r="W22" s="25"/>
      <c r="X22" s="25"/>
      <c r="Y22" s="25"/>
      <c r="Z22" s="25"/>
      <c r="AA22" s="25"/>
      <c r="AB22" s="25"/>
      <c r="AC22" s="25"/>
      <c r="AD22" s="25"/>
      <c r="AE22" s="25"/>
      <c r="AF22" s="25"/>
      <c r="AG22" s="25"/>
    </row>
    <row r="23" spans="1:33" ht="63" customHeight="1">
      <c r="A23" s="290">
        <v>3</v>
      </c>
      <c r="B23" s="43" t="s">
        <v>84</v>
      </c>
      <c r="C23" s="43" t="s">
        <v>85</v>
      </c>
      <c r="D23" s="43" t="s">
        <v>86</v>
      </c>
      <c r="E23" s="19"/>
      <c r="F23" s="27" t="s">
        <v>0</v>
      </c>
      <c r="G23" s="27" t="s">
        <v>87</v>
      </c>
      <c r="H23" s="74">
        <f>MKT.SALES!D18</f>
        <v>3</v>
      </c>
      <c r="I23" s="24" t="s">
        <v>73</v>
      </c>
      <c r="J23" s="24" t="s">
        <v>45</v>
      </c>
      <c r="K23" s="24" t="s">
        <v>45</v>
      </c>
      <c r="L23" s="24"/>
      <c r="M23" s="23" t="s">
        <v>44</v>
      </c>
      <c r="N23" s="24" t="s">
        <v>45</v>
      </c>
      <c r="O23" s="24" t="s">
        <v>45</v>
      </c>
      <c r="P23" s="23" t="s">
        <v>44</v>
      </c>
      <c r="Q23" s="24" t="s">
        <v>45</v>
      </c>
      <c r="R23" s="24" t="s">
        <v>45</v>
      </c>
      <c r="S23" s="24" t="s">
        <v>45</v>
      </c>
      <c r="T23" s="24" t="s">
        <v>45</v>
      </c>
      <c r="U23" s="25"/>
      <c r="V23" s="25"/>
      <c r="W23" s="25"/>
      <c r="X23" s="25"/>
      <c r="Y23" s="25"/>
      <c r="Z23" s="25"/>
      <c r="AA23" s="25"/>
      <c r="AB23" s="25"/>
      <c r="AC23" s="25"/>
      <c r="AD23" s="25"/>
      <c r="AE23" s="25"/>
      <c r="AF23" s="25"/>
      <c r="AG23" s="25"/>
    </row>
    <row r="24" spans="1:33" ht="20" customHeight="1">
      <c r="A24" s="290"/>
      <c r="B24" s="43" t="s">
        <v>88</v>
      </c>
      <c r="C24" s="43"/>
      <c r="D24" s="43"/>
      <c r="E24" s="19"/>
      <c r="F24" s="27" t="s">
        <v>89</v>
      </c>
      <c r="G24" s="27" t="s">
        <v>90</v>
      </c>
      <c r="H24" s="74">
        <f>1.9</f>
        <v>1.9</v>
      </c>
      <c r="I24" s="24"/>
      <c r="J24" s="24"/>
      <c r="K24" s="24"/>
      <c r="L24" s="24"/>
      <c r="M24" s="23"/>
      <c r="N24" s="24"/>
      <c r="O24" s="24"/>
      <c r="P24" s="23"/>
      <c r="Q24" s="24"/>
      <c r="R24" s="24"/>
      <c r="S24" s="24"/>
      <c r="T24" s="24"/>
      <c r="U24" s="25"/>
      <c r="V24" s="25"/>
      <c r="W24" s="25"/>
      <c r="X24" s="25"/>
      <c r="Y24" s="25"/>
      <c r="Z24" s="25"/>
      <c r="AA24" s="25"/>
      <c r="AB24" s="25"/>
      <c r="AC24" s="25"/>
      <c r="AD24" s="25"/>
      <c r="AE24" s="25"/>
      <c r="AF24" s="25"/>
      <c r="AG24" s="25"/>
    </row>
    <row r="25" spans="1:33" ht="88" customHeight="1">
      <c r="A25" s="290">
        <v>4</v>
      </c>
      <c r="B25" s="28" t="s">
        <v>91</v>
      </c>
      <c r="C25" s="36" t="s">
        <v>92</v>
      </c>
      <c r="D25" s="36" t="s">
        <v>93</v>
      </c>
      <c r="E25" s="19"/>
      <c r="F25" s="27" t="s">
        <v>0</v>
      </c>
      <c r="G25" s="27" t="s">
        <v>94</v>
      </c>
      <c r="H25" s="74">
        <f>'PMU.QS.EPL'!E35</f>
        <v>5.6000000000000005</v>
      </c>
      <c r="I25" s="24" t="s">
        <v>73</v>
      </c>
      <c r="J25" s="24" t="s">
        <v>45</v>
      </c>
      <c r="K25" s="29" t="s">
        <v>44</v>
      </c>
      <c r="L25" s="24" t="s">
        <v>45</v>
      </c>
      <c r="M25" s="23" t="s">
        <v>44</v>
      </c>
      <c r="N25" s="23" t="s">
        <v>44</v>
      </c>
      <c r="O25" s="24" t="s">
        <v>45</v>
      </c>
      <c r="P25" s="24" t="s">
        <v>45</v>
      </c>
      <c r="Q25" s="23" t="s">
        <v>44</v>
      </c>
      <c r="R25" s="24" t="s">
        <v>45</v>
      </c>
      <c r="S25" s="24" t="s">
        <v>45</v>
      </c>
      <c r="T25" s="23" t="s">
        <v>45</v>
      </c>
      <c r="U25" s="25"/>
      <c r="V25" s="25"/>
      <c r="W25" s="25"/>
      <c r="X25" s="25"/>
      <c r="Y25" s="25"/>
      <c r="Z25" s="25"/>
      <c r="AA25" s="25"/>
      <c r="AB25" s="25"/>
      <c r="AC25" s="25"/>
      <c r="AD25" s="25"/>
      <c r="AE25" s="25"/>
      <c r="AF25" s="25"/>
      <c r="AG25" s="25"/>
    </row>
    <row r="26" spans="1:33" ht="45" customHeight="1">
      <c r="A26" s="290">
        <v>5</v>
      </c>
      <c r="B26" s="294" t="s">
        <v>95</v>
      </c>
      <c r="C26" s="295" t="s">
        <v>96</v>
      </c>
      <c r="D26" s="295" t="s">
        <v>97</v>
      </c>
      <c r="E26" s="19"/>
      <c r="F26" s="27" t="s">
        <v>0</v>
      </c>
      <c r="G26" s="27" t="s">
        <v>94</v>
      </c>
      <c r="H26" s="74">
        <f>DMD!C5</f>
        <v>5.3</v>
      </c>
      <c r="I26" s="188"/>
      <c r="J26" s="188"/>
      <c r="K26" s="189"/>
      <c r="L26" s="188"/>
      <c r="M26" s="190"/>
      <c r="N26" s="190"/>
      <c r="O26" s="188"/>
      <c r="P26" s="188"/>
      <c r="Q26" s="190"/>
      <c r="R26" s="188"/>
      <c r="S26" s="188"/>
      <c r="T26" s="190"/>
      <c r="U26" s="25"/>
      <c r="V26" s="25"/>
      <c r="W26" s="25"/>
      <c r="X26" s="25"/>
      <c r="Y26" s="25"/>
      <c r="Z26" s="25"/>
      <c r="AA26" s="25"/>
      <c r="AB26" s="25"/>
      <c r="AC26" s="25"/>
      <c r="AD26" s="25"/>
      <c r="AE26" s="25"/>
      <c r="AF26" s="25"/>
      <c r="AG26" s="25"/>
    </row>
    <row r="27" spans="1:33" ht="45" customHeight="1">
      <c r="A27" s="290">
        <v>6</v>
      </c>
      <c r="B27" s="191" t="s">
        <v>98</v>
      </c>
      <c r="C27" s="192" t="s">
        <v>99</v>
      </c>
      <c r="D27" s="191" t="s">
        <v>98</v>
      </c>
      <c r="E27" s="19"/>
      <c r="F27" s="193"/>
      <c r="G27" s="193"/>
      <c r="H27" s="194">
        <v>4.7</v>
      </c>
      <c r="I27" s="188"/>
      <c r="J27" s="188"/>
      <c r="K27" s="189"/>
      <c r="L27" s="188"/>
      <c r="M27" s="190"/>
      <c r="N27" s="190"/>
      <c r="O27" s="188"/>
      <c r="P27" s="188"/>
      <c r="Q27" s="190"/>
      <c r="R27" s="188"/>
      <c r="S27" s="188"/>
      <c r="T27" s="190"/>
      <c r="U27" s="25"/>
      <c r="V27" s="25"/>
      <c r="W27" s="25"/>
      <c r="X27" s="25"/>
      <c r="Y27" s="25"/>
      <c r="Z27" s="25"/>
      <c r="AA27" s="25"/>
      <c r="AB27" s="25"/>
      <c r="AC27" s="25"/>
      <c r="AD27" s="25"/>
      <c r="AE27" s="25"/>
      <c r="AF27" s="25"/>
      <c r="AG27" s="25"/>
    </row>
    <row r="28" spans="1:33" ht="34" customHeight="1">
      <c r="A28" s="290">
        <v>5</v>
      </c>
      <c r="B28" s="30" t="s">
        <v>100</v>
      </c>
      <c r="C28" s="36" t="s">
        <v>101</v>
      </c>
      <c r="D28" s="36" t="s">
        <v>102</v>
      </c>
      <c r="E28" s="19"/>
      <c r="F28" s="195" t="s">
        <v>0</v>
      </c>
      <c r="G28" s="193" t="s">
        <v>103</v>
      </c>
      <c r="H28" s="194">
        <v>1.6</v>
      </c>
      <c r="I28" s="506" t="s">
        <v>73</v>
      </c>
      <c r="J28" s="506" t="s">
        <v>45</v>
      </c>
      <c r="K28" s="504" t="s">
        <v>44</v>
      </c>
      <c r="L28" s="506" t="s">
        <v>45</v>
      </c>
      <c r="M28" s="504" t="s">
        <v>44</v>
      </c>
      <c r="N28" s="506" t="s">
        <v>45</v>
      </c>
      <c r="O28" s="506" t="s">
        <v>45</v>
      </c>
      <c r="P28" s="506" t="s">
        <v>45</v>
      </c>
      <c r="Q28" s="504" t="s">
        <v>44</v>
      </c>
      <c r="R28" s="506" t="s">
        <v>45</v>
      </c>
      <c r="S28" s="506" t="s">
        <v>45</v>
      </c>
      <c r="T28" s="506" t="s">
        <v>45</v>
      </c>
      <c r="U28" s="25"/>
      <c r="V28" s="25"/>
      <c r="W28" s="25"/>
      <c r="X28" s="25"/>
      <c r="Y28" s="25"/>
      <c r="Z28" s="25"/>
      <c r="AA28" s="25"/>
      <c r="AB28" s="25"/>
      <c r="AC28" s="25"/>
      <c r="AD28" s="25"/>
      <c r="AE28" s="25"/>
      <c r="AF28" s="25"/>
      <c r="AG28" s="25"/>
    </row>
    <row r="29" spans="1:33" ht="14.25" customHeight="1">
      <c r="A29" s="290">
        <v>6</v>
      </c>
      <c r="B29" s="284" t="s">
        <v>104</v>
      </c>
      <c r="C29" s="36" t="s">
        <v>105</v>
      </c>
      <c r="D29" s="36" t="s">
        <v>106</v>
      </c>
      <c r="E29" s="19"/>
      <c r="F29" s="195" t="s">
        <v>0</v>
      </c>
      <c r="G29" s="193" t="s">
        <v>103</v>
      </c>
      <c r="H29" s="194">
        <v>2.5</v>
      </c>
      <c r="I29" s="505"/>
      <c r="J29" s="505"/>
      <c r="K29" s="505"/>
      <c r="L29" s="505"/>
      <c r="M29" s="505"/>
      <c r="N29" s="505"/>
      <c r="O29" s="505"/>
      <c r="P29" s="505"/>
      <c r="Q29" s="505"/>
      <c r="R29" s="505"/>
      <c r="S29" s="505"/>
      <c r="T29" s="505"/>
      <c r="U29" s="25"/>
      <c r="V29" s="25"/>
      <c r="W29" s="25"/>
      <c r="X29" s="25"/>
      <c r="Y29" s="25"/>
      <c r="Z29" s="25"/>
      <c r="AA29" s="25"/>
      <c r="AB29" s="25"/>
      <c r="AC29" s="25"/>
      <c r="AD29" s="25"/>
      <c r="AE29" s="25"/>
      <c r="AF29" s="25"/>
      <c r="AG29" s="25"/>
    </row>
    <row r="30" spans="1:33" ht="14.25" customHeight="1">
      <c r="A30" s="290">
        <v>7</v>
      </c>
      <c r="B30" s="30" t="s">
        <v>107</v>
      </c>
      <c r="C30" s="36" t="s">
        <v>108</v>
      </c>
      <c r="D30" s="36" t="s">
        <v>109</v>
      </c>
      <c r="E30" s="19"/>
      <c r="F30" s="195" t="s">
        <v>0</v>
      </c>
      <c r="G30" s="193" t="s">
        <v>103</v>
      </c>
      <c r="H30" s="194"/>
      <c r="I30" s="505"/>
      <c r="J30" s="505"/>
      <c r="K30" s="505"/>
      <c r="L30" s="505"/>
      <c r="M30" s="505"/>
      <c r="N30" s="505"/>
      <c r="O30" s="505"/>
      <c r="P30" s="505"/>
      <c r="Q30" s="505"/>
      <c r="R30" s="505"/>
      <c r="S30" s="505"/>
      <c r="T30" s="505"/>
      <c r="U30" s="25"/>
      <c r="V30" s="25"/>
      <c r="W30" s="25"/>
      <c r="X30" s="25"/>
      <c r="Y30" s="25"/>
      <c r="Z30" s="25"/>
      <c r="AA30" s="25"/>
      <c r="AB30" s="25"/>
      <c r="AC30" s="25"/>
      <c r="AD30" s="25"/>
      <c r="AE30" s="25"/>
      <c r="AF30" s="25"/>
      <c r="AG30" s="25"/>
    </row>
    <row r="31" spans="1:33" ht="14.25" customHeight="1">
      <c r="A31" s="290">
        <v>8</v>
      </c>
      <c r="B31" s="36" t="s">
        <v>110</v>
      </c>
      <c r="C31" s="36" t="s">
        <v>111</v>
      </c>
      <c r="D31" s="36" t="s">
        <v>112</v>
      </c>
      <c r="E31" s="19"/>
      <c r="F31" s="195" t="s">
        <v>0</v>
      </c>
      <c r="G31" s="193"/>
      <c r="H31" s="194"/>
      <c r="I31" s="505"/>
      <c r="J31" s="505"/>
      <c r="K31" s="505"/>
      <c r="L31" s="505"/>
      <c r="M31" s="505"/>
      <c r="N31" s="505"/>
      <c r="O31" s="505"/>
      <c r="P31" s="505"/>
      <c r="Q31" s="505"/>
      <c r="R31" s="505"/>
      <c r="S31" s="505"/>
      <c r="T31" s="505"/>
      <c r="U31" s="25"/>
      <c r="V31" s="25"/>
      <c r="W31" s="25"/>
      <c r="X31" s="25"/>
      <c r="Y31" s="25"/>
      <c r="Z31" s="25"/>
      <c r="AA31" s="25"/>
      <c r="AB31" s="25"/>
      <c r="AC31" s="25"/>
      <c r="AD31" s="25"/>
      <c r="AE31" s="25"/>
      <c r="AF31" s="25"/>
      <c r="AG31" s="25"/>
    </row>
    <row r="32" spans="1:33" ht="14.25" customHeight="1">
      <c r="A32" s="290">
        <v>9</v>
      </c>
      <c r="B32" s="36" t="s">
        <v>113</v>
      </c>
      <c r="C32" s="36" t="s">
        <v>114</v>
      </c>
      <c r="D32" s="30" t="s">
        <v>115</v>
      </c>
      <c r="E32" s="19"/>
      <c r="F32" s="195" t="s">
        <v>0</v>
      </c>
      <c r="G32" s="193"/>
      <c r="H32" s="194"/>
      <c r="I32" s="505"/>
      <c r="J32" s="505"/>
      <c r="K32" s="505"/>
      <c r="L32" s="505"/>
      <c r="M32" s="505"/>
      <c r="N32" s="505"/>
      <c r="O32" s="505"/>
      <c r="P32" s="505"/>
      <c r="Q32" s="505"/>
      <c r="R32" s="505"/>
      <c r="S32" s="505"/>
      <c r="T32" s="505"/>
      <c r="U32" s="25"/>
      <c r="V32" s="25"/>
      <c r="W32" s="25"/>
      <c r="X32" s="25"/>
      <c r="Y32" s="25"/>
      <c r="Z32" s="25"/>
      <c r="AA32" s="25"/>
      <c r="AB32" s="25"/>
      <c r="AC32" s="25"/>
      <c r="AD32" s="25"/>
      <c r="AE32" s="25"/>
      <c r="AF32" s="25"/>
      <c r="AG32" s="25"/>
    </row>
    <row r="33" spans="1:33" ht="14.25" customHeight="1">
      <c r="A33" s="290">
        <v>10</v>
      </c>
      <c r="B33" s="36" t="s">
        <v>116</v>
      </c>
      <c r="C33" s="36" t="s">
        <v>117</v>
      </c>
      <c r="D33" s="36" t="s">
        <v>118</v>
      </c>
      <c r="E33" s="19"/>
      <c r="F33" s="195" t="s">
        <v>0</v>
      </c>
      <c r="G33" s="193"/>
      <c r="H33" s="194"/>
      <c r="I33" s="507"/>
      <c r="J33" s="507"/>
      <c r="K33" s="507"/>
      <c r="L33" s="507"/>
      <c r="M33" s="507"/>
      <c r="N33" s="507"/>
      <c r="O33" s="507"/>
      <c r="P33" s="507"/>
      <c r="Q33" s="507"/>
      <c r="R33" s="507"/>
      <c r="S33" s="507"/>
      <c r="T33" s="507"/>
      <c r="U33" s="25"/>
      <c r="V33" s="25"/>
      <c r="W33" s="25"/>
      <c r="X33" s="25"/>
      <c r="Y33" s="25"/>
      <c r="Z33" s="25"/>
      <c r="AA33" s="25"/>
      <c r="AB33" s="25"/>
      <c r="AC33" s="25"/>
      <c r="AD33" s="25"/>
      <c r="AE33" s="25"/>
      <c r="AF33" s="25"/>
      <c r="AG33" s="25"/>
    </row>
    <row r="34" spans="1:33" ht="14.25" customHeight="1">
      <c r="A34" s="290">
        <v>11</v>
      </c>
      <c r="B34" s="30" t="s">
        <v>119</v>
      </c>
      <c r="C34" s="36" t="s">
        <v>120</v>
      </c>
      <c r="D34" s="36" t="s">
        <v>121</v>
      </c>
      <c r="E34" s="19"/>
      <c r="F34" s="195" t="s">
        <v>0</v>
      </c>
      <c r="G34" s="193" t="s">
        <v>103</v>
      </c>
      <c r="H34" s="194"/>
      <c r="I34" s="31" t="s">
        <v>73</v>
      </c>
      <c r="J34" s="32" t="s">
        <v>45</v>
      </c>
      <c r="K34" s="33" t="s">
        <v>44</v>
      </c>
      <c r="L34" s="32" t="s">
        <v>45</v>
      </c>
      <c r="M34" s="33" t="s">
        <v>44</v>
      </c>
      <c r="N34" s="33" t="s">
        <v>44</v>
      </c>
      <c r="O34" s="32" t="s">
        <v>45</v>
      </c>
      <c r="P34" s="32" t="s">
        <v>45</v>
      </c>
      <c r="Q34" s="33" t="s">
        <v>44</v>
      </c>
      <c r="R34" s="32" t="s">
        <v>45</v>
      </c>
      <c r="S34" s="32" t="s">
        <v>44</v>
      </c>
      <c r="T34" s="32" t="s">
        <v>44</v>
      </c>
      <c r="U34" s="25"/>
      <c r="V34" s="25"/>
      <c r="W34" s="25"/>
      <c r="X34" s="25"/>
      <c r="Y34" s="25"/>
      <c r="Z34" s="25"/>
      <c r="AA34" s="25"/>
      <c r="AB34" s="25"/>
      <c r="AC34" s="25"/>
      <c r="AD34" s="25"/>
      <c r="AE34" s="25"/>
      <c r="AF34" s="25"/>
      <c r="AG34" s="25"/>
    </row>
    <row r="35" spans="1:33" ht="14.25" customHeight="1">
      <c r="A35" s="290">
        <v>12</v>
      </c>
      <c r="B35" s="36" t="s">
        <v>122</v>
      </c>
      <c r="C35" s="36"/>
      <c r="D35" s="36"/>
      <c r="E35" s="19"/>
      <c r="F35" s="195"/>
      <c r="G35" s="193"/>
      <c r="H35" s="194"/>
      <c r="I35" s="31"/>
      <c r="J35" s="32"/>
      <c r="K35" s="33"/>
      <c r="L35" s="32"/>
      <c r="M35" s="33"/>
      <c r="N35" s="32"/>
      <c r="O35" s="32"/>
      <c r="P35" s="32"/>
      <c r="Q35" s="32"/>
      <c r="R35" s="32"/>
      <c r="S35" s="32"/>
      <c r="T35" s="32"/>
      <c r="U35" s="25"/>
      <c r="V35" s="25"/>
      <c r="W35" s="25"/>
      <c r="X35" s="25"/>
      <c r="Y35" s="25"/>
      <c r="Z35" s="25"/>
      <c r="AA35" s="25"/>
      <c r="AB35" s="25"/>
      <c r="AC35" s="25"/>
      <c r="AD35" s="25"/>
      <c r="AE35" s="25"/>
      <c r="AF35" s="25"/>
      <c r="AG35" s="25"/>
    </row>
    <row r="36" spans="1:33" ht="14.25" customHeight="1">
      <c r="A36" s="42" t="s">
        <v>123</v>
      </c>
      <c r="B36" s="23" t="s">
        <v>124</v>
      </c>
      <c r="C36" s="24"/>
      <c r="D36" s="24"/>
      <c r="E36" s="19"/>
      <c r="F36" s="195"/>
      <c r="G36" s="193"/>
      <c r="H36" s="194"/>
      <c r="I36" s="24"/>
      <c r="J36" s="24"/>
      <c r="K36" s="24"/>
      <c r="L36" s="24"/>
      <c r="M36" s="24"/>
      <c r="N36" s="24"/>
      <c r="O36" s="24"/>
      <c r="P36" s="24"/>
      <c r="Q36" s="24"/>
      <c r="R36" s="24"/>
      <c r="S36" s="24"/>
      <c r="T36" s="24"/>
      <c r="U36" s="25"/>
      <c r="V36" s="25"/>
      <c r="W36" s="25"/>
      <c r="X36" s="25"/>
      <c r="Y36" s="25"/>
      <c r="Z36" s="25"/>
      <c r="AA36" s="25"/>
      <c r="AB36" s="25"/>
      <c r="AC36" s="25"/>
      <c r="AD36" s="25"/>
      <c r="AE36" s="25"/>
      <c r="AF36" s="25"/>
      <c r="AG36" s="25"/>
    </row>
    <row r="37" spans="1:33" ht="14.25" customHeight="1">
      <c r="A37" s="290">
        <v>1</v>
      </c>
      <c r="B37" s="36" t="s">
        <v>125</v>
      </c>
      <c r="C37" s="36" t="s">
        <v>126</v>
      </c>
      <c r="D37" s="36" t="s">
        <v>127</v>
      </c>
      <c r="E37" s="19"/>
      <c r="F37" s="195" t="s">
        <v>0</v>
      </c>
      <c r="G37" s="193"/>
      <c r="H37" s="194"/>
      <c r="I37" s="506" t="s">
        <v>128</v>
      </c>
      <c r="J37" s="504" t="s">
        <v>44</v>
      </c>
      <c r="K37" s="504" t="s">
        <v>44</v>
      </c>
      <c r="L37" s="504" t="s">
        <v>44</v>
      </c>
      <c r="M37" s="504" t="s">
        <v>44</v>
      </c>
      <c r="N37" s="504" t="s">
        <v>44</v>
      </c>
      <c r="O37" s="504" t="s">
        <v>44</v>
      </c>
      <c r="P37" s="504" t="s">
        <v>44</v>
      </c>
      <c r="Q37" s="504" t="s">
        <v>44</v>
      </c>
      <c r="R37" s="504" t="s">
        <v>44</v>
      </c>
      <c r="S37" s="504" t="s">
        <v>44</v>
      </c>
      <c r="T37" s="504" t="s">
        <v>44</v>
      </c>
      <c r="U37" s="25"/>
      <c r="V37" s="25"/>
      <c r="W37" s="25"/>
      <c r="X37" s="25"/>
      <c r="Y37" s="25"/>
      <c r="Z37" s="25"/>
      <c r="AA37" s="25"/>
      <c r="AB37" s="25"/>
      <c r="AC37" s="25"/>
      <c r="AD37" s="25"/>
      <c r="AE37" s="25"/>
      <c r="AF37" s="25"/>
      <c r="AG37" s="25"/>
    </row>
    <row r="38" spans="1:33" ht="14.25" customHeight="1">
      <c r="A38" s="290">
        <v>2</v>
      </c>
      <c r="B38" s="36" t="s">
        <v>129</v>
      </c>
      <c r="C38" s="36" t="s">
        <v>130</v>
      </c>
      <c r="D38" s="36" t="s">
        <v>131</v>
      </c>
      <c r="E38" s="19"/>
      <c r="F38" s="195" t="s">
        <v>0</v>
      </c>
      <c r="G38" s="193"/>
      <c r="H38" s="194"/>
      <c r="I38" s="505"/>
      <c r="J38" s="505"/>
      <c r="K38" s="505"/>
      <c r="L38" s="505"/>
      <c r="M38" s="505"/>
      <c r="N38" s="505"/>
      <c r="O38" s="505"/>
      <c r="P38" s="505"/>
      <c r="Q38" s="505"/>
      <c r="R38" s="505"/>
      <c r="S38" s="505"/>
      <c r="T38" s="505"/>
      <c r="U38" s="25"/>
      <c r="V38" s="25"/>
      <c r="W38" s="25"/>
      <c r="X38" s="25"/>
      <c r="Y38" s="25"/>
      <c r="Z38" s="25"/>
      <c r="AA38" s="25"/>
      <c r="AB38" s="25"/>
      <c r="AC38" s="25"/>
      <c r="AD38" s="25"/>
      <c r="AE38" s="25"/>
      <c r="AF38" s="25"/>
      <c r="AG38" s="25"/>
    </row>
    <row r="39" spans="1:33" ht="14.25" customHeight="1">
      <c r="A39" s="291">
        <v>3</v>
      </c>
      <c r="B39" s="292" t="s">
        <v>132</v>
      </c>
      <c r="C39" s="292" t="s">
        <v>133</v>
      </c>
      <c r="D39" s="292" t="s">
        <v>134</v>
      </c>
      <c r="E39" s="286"/>
      <c r="F39" s="288" t="s">
        <v>0</v>
      </c>
      <c r="G39" s="287"/>
      <c r="H39" s="289"/>
      <c r="I39" s="505"/>
      <c r="J39" s="505"/>
      <c r="K39" s="505"/>
      <c r="L39" s="505"/>
      <c r="M39" s="505"/>
      <c r="N39" s="505"/>
      <c r="O39" s="505"/>
      <c r="P39" s="505"/>
      <c r="Q39" s="505"/>
      <c r="R39" s="505"/>
      <c r="S39" s="505"/>
      <c r="T39" s="505"/>
      <c r="U39" s="25"/>
      <c r="V39" s="25"/>
      <c r="W39" s="25"/>
      <c r="X39" s="25"/>
      <c r="Y39" s="25"/>
      <c r="Z39" s="25"/>
      <c r="AA39" s="25"/>
      <c r="AB39" s="25"/>
      <c r="AC39" s="25"/>
      <c r="AD39" s="25"/>
      <c r="AE39" s="25"/>
      <c r="AF39" s="25"/>
      <c r="AG39" s="25"/>
    </row>
    <row r="40" spans="1:33" ht="14.25" customHeight="1">
      <c r="A40" s="296" t="s">
        <v>135</v>
      </c>
      <c r="B40" s="296" t="s">
        <v>136</v>
      </c>
      <c r="C40" s="297"/>
      <c r="D40" s="297"/>
      <c r="E40" s="298"/>
      <c r="F40" s="300"/>
      <c r="G40" s="299"/>
      <c r="H40" s="301"/>
      <c r="I40" s="302"/>
      <c r="J40" s="302"/>
      <c r="K40" s="302"/>
      <c r="L40" s="302"/>
      <c r="M40" s="302"/>
      <c r="N40" s="302"/>
      <c r="O40" s="302"/>
      <c r="P40" s="302"/>
      <c r="Q40" s="302"/>
      <c r="R40" s="302"/>
      <c r="S40" s="302"/>
      <c r="T40" s="302"/>
      <c r="U40" s="285"/>
      <c r="V40" s="285"/>
      <c r="W40" s="285"/>
      <c r="X40" s="285"/>
      <c r="Y40" s="285"/>
      <c r="Z40" s="285"/>
      <c r="AA40" s="285"/>
      <c r="AB40" s="285"/>
      <c r="AC40" s="285"/>
      <c r="AD40" s="285"/>
      <c r="AE40" s="285"/>
      <c r="AF40" s="285"/>
      <c r="AG40" s="285"/>
    </row>
    <row r="41" spans="1:33" ht="14.25" customHeight="1">
      <c r="A41" s="303">
        <v>1</v>
      </c>
      <c r="B41" s="303" t="s">
        <v>137</v>
      </c>
      <c r="C41" s="304"/>
      <c r="D41" s="304"/>
      <c r="E41" s="298"/>
      <c r="F41" s="298"/>
      <c r="G41" s="298"/>
      <c r="I41" s="305"/>
      <c r="J41" s="305"/>
      <c r="K41" s="305"/>
      <c r="L41" s="305"/>
      <c r="M41" s="305"/>
      <c r="N41" s="305"/>
      <c r="O41" s="305"/>
      <c r="P41" s="305"/>
      <c r="Q41" s="305"/>
      <c r="R41" s="305"/>
      <c r="S41" s="305"/>
      <c r="T41" s="305"/>
      <c r="U41" s="35"/>
      <c r="V41" s="35"/>
      <c r="W41" s="35"/>
      <c r="X41" s="35"/>
      <c r="Y41" s="35"/>
      <c r="Z41" s="35"/>
      <c r="AA41" s="35"/>
      <c r="AB41" s="35"/>
      <c r="AC41" s="35"/>
      <c r="AD41" s="35"/>
      <c r="AE41" s="35"/>
      <c r="AF41" s="35"/>
      <c r="AG41" s="35"/>
    </row>
    <row r="42" spans="1:33" ht="14.25" customHeight="1">
      <c r="A42" s="303">
        <v>2</v>
      </c>
      <c r="B42" s="303" t="s">
        <v>138</v>
      </c>
      <c r="C42" s="304"/>
      <c r="D42" s="304"/>
      <c r="E42" s="298"/>
      <c r="F42" s="298"/>
      <c r="G42" s="298"/>
      <c r="H42" s="306"/>
      <c r="I42" s="305"/>
      <c r="J42" s="305"/>
      <c r="K42" s="305"/>
      <c r="L42" s="305"/>
      <c r="M42" s="305"/>
      <c r="N42" s="305"/>
      <c r="O42" s="305"/>
      <c r="P42" s="305"/>
      <c r="Q42" s="305"/>
      <c r="R42" s="305"/>
      <c r="S42" s="305"/>
      <c r="T42" s="305"/>
      <c r="U42" s="35"/>
      <c r="V42" s="35"/>
      <c r="W42" s="35"/>
      <c r="X42" s="35"/>
      <c r="Y42" s="35"/>
      <c r="Z42" s="35"/>
      <c r="AA42" s="35"/>
      <c r="AB42" s="35"/>
      <c r="AC42" s="35"/>
      <c r="AD42" s="35"/>
      <c r="AE42" s="35"/>
      <c r="AF42" s="35"/>
      <c r="AG42" s="35"/>
    </row>
    <row r="43" spans="1:33" ht="14.25" customHeight="1">
      <c r="A43" s="303">
        <v>3</v>
      </c>
      <c r="B43" s="303" t="s">
        <v>139</v>
      </c>
      <c r="C43" s="304"/>
      <c r="D43" s="304"/>
      <c r="E43" s="298"/>
      <c r="F43" s="298"/>
      <c r="G43" s="298"/>
      <c r="H43" s="306"/>
      <c r="I43" s="305"/>
      <c r="J43" s="305"/>
      <c r="K43" s="305"/>
      <c r="L43" s="305"/>
      <c r="M43" s="305"/>
      <c r="N43" s="305"/>
      <c r="O43" s="305"/>
      <c r="P43" s="305"/>
      <c r="Q43" s="305"/>
      <c r="R43" s="305"/>
      <c r="S43" s="305"/>
      <c r="T43" s="305"/>
      <c r="U43" s="35"/>
      <c r="V43" s="35"/>
      <c r="W43" s="35"/>
      <c r="X43" s="35"/>
      <c r="Y43" s="35"/>
      <c r="Z43" s="35"/>
      <c r="AA43" s="35"/>
      <c r="AB43" s="35"/>
      <c r="AC43" s="35"/>
      <c r="AD43" s="35"/>
      <c r="AE43" s="35"/>
      <c r="AF43" s="35"/>
      <c r="AG43" s="35"/>
    </row>
    <row r="44" spans="1:33" ht="14.25" customHeight="1">
      <c r="A44" s="40"/>
      <c r="B44" s="34"/>
      <c r="C44" s="34"/>
      <c r="D44" s="34"/>
      <c r="E44" s="14"/>
      <c r="F44" s="14"/>
      <c r="G44" s="14"/>
      <c r="H44" s="307">
        <f>SUM(H10:H43)</f>
        <v>56.23</v>
      </c>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row>
    <row r="45" spans="1:33" ht="14.25" customHeight="1">
      <c r="A45" s="40"/>
      <c r="B45" s="34"/>
      <c r="C45" s="34"/>
      <c r="D45" s="34"/>
      <c r="E45" s="14"/>
      <c r="F45" s="14"/>
      <c r="G45" s="14"/>
      <c r="H45" s="73"/>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ht="14.25" customHeight="1">
      <c r="A46" s="40"/>
      <c r="B46" s="34"/>
      <c r="C46" s="34"/>
      <c r="D46" s="34"/>
      <c r="E46" s="14"/>
      <c r="F46" s="14"/>
      <c r="G46" s="14"/>
      <c r="H46" s="73"/>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row>
    <row r="47" spans="1:33" ht="14.25" customHeight="1">
      <c r="A47" s="40"/>
      <c r="B47" s="34"/>
      <c r="C47" s="34"/>
      <c r="D47" s="34"/>
      <c r="E47" s="14"/>
      <c r="F47" s="14"/>
      <c r="G47" s="14"/>
      <c r="H47" s="73"/>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ht="14.25" customHeight="1">
      <c r="A48" s="40"/>
      <c r="B48" s="34"/>
      <c r="C48" s="34"/>
      <c r="D48" s="34"/>
      <c r="E48" s="14"/>
      <c r="F48" s="14"/>
      <c r="G48" s="14"/>
      <c r="H48" s="73"/>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ht="14.25" customHeight="1">
      <c r="A49" s="40"/>
      <c r="B49" s="34"/>
      <c r="C49" s="34"/>
      <c r="D49" s="34"/>
      <c r="E49" s="14"/>
      <c r="F49" s="14"/>
      <c r="G49" s="14"/>
      <c r="H49" s="73"/>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row>
    <row r="50" spans="1:33" ht="14.25" customHeight="1">
      <c r="A50" s="40"/>
      <c r="B50" s="34"/>
      <c r="C50" s="34"/>
      <c r="D50" s="34"/>
      <c r="E50" s="14"/>
      <c r="F50" s="14"/>
      <c r="G50" s="14"/>
      <c r="H50" s="73"/>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row>
    <row r="51" spans="1:33" ht="14.25" customHeight="1">
      <c r="A51" s="40"/>
      <c r="B51" s="34"/>
      <c r="C51" s="34"/>
      <c r="D51" s="34"/>
      <c r="E51" s="14"/>
      <c r="F51" s="14"/>
      <c r="G51" s="14"/>
      <c r="H51" s="73"/>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row>
    <row r="52" spans="1:33" ht="14.25" customHeight="1">
      <c r="A52" s="40"/>
      <c r="B52" s="34"/>
      <c r="C52" s="34"/>
      <c r="D52" s="34"/>
      <c r="E52" s="14"/>
      <c r="F52" s="14"/>
      <c r="G52" s="14"/>
      <c r="H52" s="73"/>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row>
    <row r="53" spans="1:33" ht="14.25" customHeight="1">
      <c r="A53" s="40"/>
      <c r="B53" s="34"/>
      <c r="C53" s="34"/>
      <c r="D53" s="34"/>
      <c r="E53" s="14"/>
      <c r="F53" s="14"/>
      <c r="G53" s="14"/>
      <c r="H53" s="73"/>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4.25" customHeight="1">
      <c r="A54" s="40"/>
      <c r="B54" s="34"/>
      <c r="C54" s="34"/>
      <c r="D54" s="34"/>
      <c r="E54" s="14"/>
      <c r="F54" s="14"/>
      <c r="G54" s="14"/>
      <c r="H54" s="73"/>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4.25" customHeight="1">
      <c r="A55" s="40"/>
      <c r="B55" s="34"/>
      <c r="C55" s="34"/>
      <c r="D55" s="34"/>
      <c r="E55" s="14"/>
      <c r="F55" s="14"/>
      <c r="G55" s="14"/>
      <c r="H55" s="73"/>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4.25" customHeight="1">
      <c r="A56" s="40"/>
      <c r="B56" s="34"/>
      <c r="C56" s="34"/>
      <c r="D56" s="34"/>
      <c r="E56" s="14"/>
      <c r="F56" s="14"/>
      <c r="G56" s="14"/>
      <c r="H56" s="73"/>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4.25" customHeight="1">
      <c r="A57" s="40"/>
      <c r="B57" s="34"/>
      <c r="C57" s="34"/>
      <c r="D57" s="34"/>
      <c r="E57" s="14"/>
      <c r="F57" s="14"/>
      <c r="G57" s="14"/>
      <c r="H57" s="73"/>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4.25" customHeight="1">
      <c r="A58" s="40"/>
      <c r="B58" s="34"/>
      <c r="C58" s="34"/>
      <c r="D58" s="34"/>
      <c r="E58" s="14"/>
      <c r="F58" s="14"/>
      <c r="G58" s="14"/>
      <c r="H58" s="73"/>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row>
    <row r="59" spans="1:33" ht="14.25" customHeight="1">
      <c r="A59" s="40"/>
      <c r="B59" s="34"/>
      <c r="C59" s="34"/>
      <c r="D59" s="34"/>
      <c r="E59" s="14"/>
      <c r="F59" s="14"/>
      <c r="G59" s="14"/>
      <c r="H59" s="73"/>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row>
    <row r="60" spans="1:33" ht="14.25" customHeight="1">
      <c r="A60" s="40"/>
      <c r="B60" s="34"/>
      <c r="C60" s="34"/>
      <c r="D60" s="34"/>
      <c r="E60" s="14"/>
      <c r="F60" s="14"/>
      <c r="G60" s="14"/>
      <c r="H60" s="73"/>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row>
    <row r="61" spans="1:33" ht="14.25" customHeight="1">
      <c r="A61" s="40"/>
      <c r="B61" s="34"/>
      <c r="C61" s="34"/>
      <c r="D61" s="34"/>
      <c r="E61" s="14"/>
      <c r="F61" s="14"/>
      <c r="G61" s="14"/>
      <c r="H61" s="73"/>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row>
    <row r="62" spans="1:33" ht="14.25" customHeight="1">
      <c r="A62" s="40"/>
      <c r="B62" s="34"/>
      <c r="C62" s="34"/>
      <c r="D62" s="34"/>
      <c r="E62" s="14"/>
      <c r="F62" s="14"/>
      <c r="G62" s="14"/>
      <c r="H62" s="73"/>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row>
    <row r="63" spans="1:33" ht="14.25" customHeight="1">
      <c r="A63" s="40"/>
      <c r="B63" s="14"/>
      <c r="C63" s="14"/>
      <c r="D63" s="14"/>
      <c r="E63" s="14"/>
      <c r="F63" s="14"/>
      <c r="G63" s="14"/>
      <c r="H63" s="73"/>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4.25" customHeight="1">
      <c r="A64" s="40"/>
      <c r="B64" s="14"/>
      <c r="C64" s="14"/>
      <c r="D64" s="14"/>
      <c r="E64" s="14"/>
      <c r="F64" s="14"/>
      <c r="G64" s="14"/>
      <c r="H64" s="73"/>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row>
    <row r="65" spans="1:33" ht="14.25" customHeight="1">
      <c r="A65" s="40"/>
      <c r="B65" s="14"/>
      <c r="C65" s="14"/>
      <c r="D65" s="14"/>
      <c r="E65" s="14"/>
      <c r="F65" s="14"/>
      <c r="G65" s="14"/>
      <c r="H65" s="73"/>
      <c r="I65" s="35"/>
      <c r="J65" s="35"/>
      <c r="K65" s="35"/>
      <c r="L65" s="35"/>
      <c r="M65" s="35"/>
      <c r="N65" s="35"/>
      <c r="O65" s="35"/>
      <c r="P65" s="35"/>
      <c r="Q65" s="35"/>
      <c r="R65" s="35"/>
      <c r="S65" s="35"/>
      <c r="T65" s="14"/>
      <c r="U65" s="14"/>
      <c r="V65" s="14"/>
      <c r="W65" s="14"/>
      <c r="X65" s="14"/>
      <c r="Y65" s="14"/>
      <c r="Z65" s="14"/>
      <c r="AA65" s="14"/>
      <c r="AB65" s="14"/>
      <c r="AC65" s="14"/>
      <c r="AD65" s="14"/>
      <c r="AE65" s="14"/>
      <c r="AF65" s="14"/>
      <c r="AG65" s="14"/>
    </row>
    <row r="66" spans="1:33" ht="14.25" customHeight="1">
      <c r="A66" s="40"/>
      <c r="B66" s="14"/>
      <c r="C66" s="14"/>
      <c r="D66" s="14"/>
      <c r="E66" s="14"/>
      <c r="F66" s="14"/>
      <c r="G66" s="14"/>
      <c r="H66" s="73"/>
      <c r="I66" s="35"/>
      <c r="J66" s="35"/>
      <c r="K66" s="35"/>
      <c r="L66" s="35"/>
      <c r="M66" s="35"/>
      <c r="N66" s="35"/>
      <c r="O66" s="35"/>
      <c r="P66" s="35"/>
      <c r="Q66" s="35"/>
      <c r="R66" s="35"/>
      <c r="S66" s="35"/>
      <c r="T66" s="14"/>
      <c r="U66" s="14"/>
      <c r="V66" s="14"/>
      <c r="W66" s="14"/>
      <c r="X66" s="14"/>
      <c r="Y66" s="14"/>
      <c r="Z66" s="14"/>
      <c r="AA66" s="14"/>
      <c r="AB66" s="14"/>
      <c r="AC66" s="14"/>
      <c r="AD66" s="14"/>
      <c r="AE66" s="14"/>
      <c r="AF66" s="14"/>
      <c r="AG66" s="14"/>
    </row>
    <row r="67" spans="1:33" ht="14.25" customHeight="1">
      <c r="A67" s="40"/>
      <c r="B67" s="14"/>
      <c r="C67" s="14"/>
      <c r="D67" s="14"/>
      <c r="E67" s="14"/>
      <c r="F67" s="14"/>
      <c r="G67" s="14"/>
      <c r="H67" s="73"/>
      <c r="I67" s="35"/>
      <c r="J67" s="35"/>
      <c r="K67" s="35"/>
      <c r="L67" s="35"/>
      <c r="M67" s="35"/>
      <c r="N67" s="35"/>
      <c r="O67" s="35"/>
      <c r="P67" s="35"/>
      <c r="Q67" s="35"/>
      <c r="R67" s="35"/>
      <c r="S67" s="35"/>
      <c r="T67" s="14"/>
      <c r="U67" s="14"/>
      <c r="V67" s="14"/>
      <c r="W67" s="14"/>
      <c r="X67" s="14"/>
      <c r="Y67" s="14"/>
      <c r="Z67" s="14"/>
      <c r="AA67" s="14"/>
      <c r="AB67" s="14"/>
      <c r="AC67" s="14"/>
      <c r="AD67" s="14"/>
      <c r="AE67" s="14"/>
      <c r="AF67" s="14"/>
      <c r="AG67" s="14"/>
    </row>
    <row r="68" spans="1:33" ht="14.25" customHeight="1">
      <c r="A68" s="40"/>
      <c r="B68" s="14"/>
      <c r="C68" s="14"/>
      <c r="D68" s="14"/>
      <c r="E68" s="14"/>
      <c r="F68" s="14"/>
      <c r="G68" s="14"/>
      <c r="H68" s="73"/>
      <c r="I68" s="35"/>
      <c r="J68" s="35"/>
      <c r="K68" s="35"/>
      <c r="L68" s="35"/>
      <c r="M68" s="35"/>
      <c r="N68" s="35"/>
      <c r="O68" s="35"/>
      <c r="P68" s="35"/>
      <c r="Q68" s="35"/>
      <c r="R68" s="35"/>
      <c r="S68" s="35"/>
      <c r="T68" s="14"/>
      <c r="U68" s="14"/>
      <c r="V68" s="14"/>
      <c r="W68" s="14"/>
      <c r="X68" s="14"/>
      <c r="Y68" s="14"/>
      <c r="Z68" s="14"/>
      <c r="AA68" s="14"/>
      <c r="AB68" s="14"/>
      <c r="AC68" s="14"/>
      <c r="AD68" s="14"/>
      <c r="AE68" s="14"/>
      <c r="AF68" s="14"/>
      <c r="AG68" s="14"/>
    </row>
    <row r="69" spans="1:33" ht="14.25" customHeight="1">
      <c r="A69" s="38"/>
      <c r="B69" s="4"/>
      <c r="C69" s="4"/>
      <c r="D69" s="4"/>
      <c r="E69" s="4"/>
      <c r="F69" s="4"/>
      <c r="G69" s="4"/>
      <c r="H69" s="72"/>
      <c r="I69" s="5"/>
      <c r="J69" s="5"/>
      <c r="K69" s="5"/>
      <c r="L69" s="5"/>
      <c r="M69" s="5"/>
      <c r="N69" s="5"/>
      <c r="O69" s="5"/>
      <c r="P69" s="5"/>
      <c r="Q69" s="5"/>
      <c r="R69" s="5"/>
      <c r="S69" s="5"/>
      <c r="T69" s="4"/>
      <c r="U69" s="4"/>
      <c r="V69" s="4"/>
      <c r="W69" s="4"/>
      <c r="X69" s="4"/>
      <c r="Y69" s="4"/>
      <c r="Z69" s="4"/>
      <c r="AA69" s="4"/>
      <c r="AB69" s="4"/>
      <c r="AC69" s="4"/>
      <c r="AD69" s="4"/>
      <c r="AE69" s="4"/>
      <c r="AF69" s="4"/>
      <c r="AG69" s="4"/>
    </row>
    <row r="70" spans="1:33" ht="14.25" customHeight="1">
      <c r="A70" s="38"/>
      <c r="B70" s="4"/>
      <c r="C70" s="4"/>
      <c r="D70" s="4"/>
      <c r="E70" s="4"/>
      <c r="F70" s="4"/>
      <c r="G70" s="4"/>
      <c r="H70" s="72"/>
      <c r="I70" s="5"/>
      <c r="J70" s="5"/>
      <c r="K70" s="5"/>
      <c r="L70" s="5"/>
      <c r="M70" s="5"/>
      <c r="N70" s="5"/>
      <c r="O70" s="5"/>
      <c r="P70" s="5"/>
      <c r="Q70" s="5"/>
      <c r="R70" s="5"/>
      <c r="S70" s="5"/>
      <c r="T70" s="4"/>
      <c r="U70" s="4"/>
      <c r="V70" s="4"/>
      <c r="W70" s="4"/>
      <c r="X70" s="4"/>
      <c r="Y70" s="4"/>
      <c r="Z70" s="4"/>
      <c r="AA70" s="4"/>
      <c r="AB70" s="4"/>
      <c r="AC70" s="4"/>
      <c r="AD70" s="4"/>
      <c r="AE70" s="4"/>
      <c r="AF70" s="4"/>
      <c r="AG70" s="4"/>
    </row>
    <row r="71" spans="1:33" ht="14.25" customHeight="1">
      <c r="A71" s="38"/>
      <c r="B71" s="4"/>
      <c r="C71" s="4"/>
      <c r="D71" s="4"/>
      <c r="E71" s="4"/>
      <c r="F71" s="4"/>
      <c r="G71" s="4"/>
      <c r="H71" s="72"/>
      <c r="I71" s="5"/>
      <c r="J71" s="5"/>
      <c r="K71" s="5"/>
      <c r="L71" s="5"/>
      <c r="M71" s="5"/>
      <c r="N71" s="5"/>
      <c r="O71" s="5"/>
      <c r="P71" s="5"/>
      <c r="Q71" s="5"/>
      <c r="R71" s="5"/>
      <c r="S71" s="5"/>
      <c r="T71" s="4"/>
      <c r="U71" s="4"/>
      <c r="V71" s="4"/>
      <c r="W71" s="4"/>
      <c r="X71" s="4"/>
      <c r="Y71" s="4"/>
      <c r="Z71" s="4"/>
      <c r="AA71" s="4"/>
      <c r="AB71" s="4"/>
      <c r="AC71" s="4"/>
      <c r="AD71" s="4"/>
      <c r="AE71" s="4"/>
      <c r="AF71" s="4"/>
      <c r="AG71" s="4"/>
    </row>
    <row r="72" spans="1:33" ht="14.25" customHeight="1">
      <c r="A72" s="38"/>
      <c r="B72" s="4"/>
      <c r="C72" s="4"/>
      <c r="D72" s="4"/>
      <c r="E72" s="4"/>
      <c r="F72" s="4"/>
      <c r="G72" s="4"/>
      <c r="H72" s="72"/>
      <c r="I72" s="5"/>
      <c r="J72" s="5"/>
      <c r="K72" s="5"/>
      <c r="L72" s="5"/>
      <c r="M72" s="5"/>
      <c r="N72" s="5"/>
      <c r="O72" s="5"/>
      <c r="P72" s="5"/>
      <c r="Q72" s="5"/>
      <c r="R72" s="5"/>
      <c r="S72" s="5"/>
      <c r="T72" s="4"/>
      <c r="U72" s="4"/>
      <c r="V72" s="4"/>
      <c r="W72" s="4"/>
      <c r="X72" s="4"/>
      <c r="Y72" s="4"/>
      <c r="Z72" s="4"/>
      <c r="AA72" s="4"/>
      <c r="AB72" s="4"/>
      <c r="AC72" s="4"/>
      <c r="AD72" s="4"/>
      <c r="AE72" s="4"/>
      <c r="AF72" s="4"/>
      <c r="AG72" s="4"/>
    </row>
    <row r="73" spans="1:33" ht="14.25" customHeight="1">
      <c r="A73" s="38"/>
      <c r="B73" s="4"/>
      <c r="C73" s="4"/>
      <c r="D73" s="4"/>
      <c r="E73" s="4"/>
      <c r="F73" s="4"/>
      <c r="G73" s="4"/>
      <c r="H73" s="72"/>
      <c r="I73" s="5"/>
      <c r="J73" s="5"/>
      <c r="K73" s="5"/>
      <c r="L73" s="5"/>
      <c r="M73" s="5"/>
      <c r="N73" s="5"/>
      <c r="O73" s="5"/>
      <c r="P73" s="5"/>
      <c r="Q73" s="5"/>
      <c r="R73" s="5"/>
      <c r="S73" s="5"/>
      <c r="T73" s="4"/>
      <c r="U73" s="4"/>
      <c r="V73" s="4"/>
      <c r="W73" s="4"/>
      <c r="X73" s="4"/>
      <c r="Y73" s="4"/>
      <c r="Z73" s="4"/>
      <c r="AA73" s="4"/>
      <c r="AB73" s="4"/>
      <c r="AC73" s="4"/>
      <c r="AD73" s="4"/>
      <c r="AE73" s="4"/>
      <c r="AF73" s="4"/>
      <c r="AG73" s="4"/>
    </row>
    <row r="74" spans="1:33" ht="14.25" customHeight="1">
      <c r="A74" s="38"/>
      <c r="B74" s="4"/>
      <c r="C74" s="4"/>
      <c r="D74" s="4"/>
      <c r="E74" s="4"/>
      <c r="F74" s="4"/>
      <c r="G74" s="4"/>
      <c r="H74" s="72"/>
      <c r="I74" s="5"/>
      <c r="J74" s="5"/>
      <c r="K74" s="5"/>
      <c r="L74" s="5"/>
      <c r="M74" s="5"/>
      <c r="N74" s="5"/>
      <c r="O74" s="5"/>
      <c r="P74" s="5"/>
      <c r="Q74" s="5"/>
      <c r="R74" s="5"/>
      <c r="S74" s="5"/>
      <c r="T74" s="4"/>
      <c r="U74" s="4"/>
      <c r="V74" s="4"/>
      <c r="W74" s="4"/>
      <c r="X74" s="4"/>
      <c r="Y74" s="4"/>
      <c r="Z74" s="4"/>
      <c r="AA74" s="4"/>
      <c r="AB74" s="4"/>
      <c r="AC74" s="4"/>
      <c r="AD74" s="4"/>
      <c r="AE74" s="4"/>
      <c r="AF74" s="4"/>
      <c r="AG74" s="4"/>
    </row>
    <row r="75" spans="1:33" ht="14.25" customHeight="1">
      <c r="A75" s="38"/>
      <c r="B75" s="4"/>
      <c r="C75" s="4"/>
      <c r="D75" s="4"/>
      <c r="E75" s="4"/>
      <c r="F75" s="4"/>
      <c r="G75" s="4"/>
      <c r="H75" s="72"/>
      <c r="I75" s="5"/>
      <c r="J75" s="5"/>
      <c r="K75" s="5"/>
      <c r="L75" s="5"/>
      <c r="M75" s="5"/>
      <c r="N75" s="5"/>
      <c r="O75" s="5"/>
      <c r="P75" s="5"/>
      <c r="Q75" s="5"/>
      <c r="R75" s="5"/>
      <c r="S75" s="5"/>
      <c r="T75" s="4"/>
      <c r="U75" s="4"/>
      <c r="V75" s="4"/>
      <c r="W75" s="4"/>
      <c r="X75" s="4"/>
      <c r="Y75" s="4"/>
      <c r="Z75" s="4"/>
      <c r="AA75" s="4"/>
      <c r="AB75" s="4"/>
      <c r="AC75" s="4"/>
      <c r="AD75" s="4"/>
      <c r="AE75" s="4"/>
      <c r="AF75" s="4"/>
      <c r="AG75" s="4"/>
    </row>
    <row r="76" spans="1:33" ht="14.25" customHeight="1">
      <c r="I76" s="2"/>
      <c r="J76" s="2"/>
      <c r="K76" s="2"/>
      <c r="L76" s="2"/>
      <c r="M76" s="2"/>
      <c r="N76" s="2"/>
      <c r="O76" s="2"/>
      <c r="P76" s="2"/>
      <c r="Q76" s="2"/>
      <c r="R76" s="2"/>
      <c r="S76" s="2"/>
    </row>
    <row r="77" spans="1:33" ht="14.25" customHeight="1">
      <c r="I77" s="2"/>
      <c r="J77" s="2"/>
      <c r="K77" s="2"/>
      <c r="L77" s="2"/>
      <c r="M77" s="2"/>
      <c r="N77" s="2"/>
      <c r="O77" s="2"/>
      <c r="P77" s="2"/>
      <c r="Q77" s="2"/>
      <c r="R77" s="2"/>
      <c r="S77" s="2"/>
    </row>
    <row r="78" spans="1:33" ht="14.25" customHeight="1">
      <c r="I78" s="2"/>
      <c r="J78" s="2"/>
      <c r="K78" s="2"/>
      <c r="L78" s="2"/>
      <c r="M78" s="2"/>
      <c r="N78" s="2"/>
      <c r="O78" s="2"/>
      <c r="P78" s="2"/>
      <c r="Q78" s="2"/>
      <c r="R78" s="2"/>
      <c r="S78" s="2"/>
    </row>
    <row r="79" spans="1:33" ht="14.25" customHeight="1">
      <c r="I79" s="2"/>
      <c r="J79" s="2"/>
      <c r="K79" s="2"/>
      <c r="L79" s="2"/>
      <c r="M79" s="2"/>
      <c r="N79" s="2"/>
      <c r="O79" s="2"/>
      <c r="P79" s="2"/>
      <c r="Q79" s="2"/>
      <c r="R79" s="2"/>
      <c r="S79" s="2"/>
    </row>
    <row r="80" spans="1:33" ht="14.25" customHeight="1">
      <c r="I80" s="2"/>
      <c r="J80" s="2"/>
      <c r="K80" s="2"/>
      <c r="L80" s="2"/>
      <c r="M80" s="2"/>
      <c r="N80" s="2"/>
      <c r="O80" s="2"/>
      <c r="P80" s="2"/>
      <c r="Q80" s="2"/>
      <c r="R80" s="2"/>
      <c r="S80" s="2"/>
    </row>
    <row r="81" spans="9:19" ht="14.25" customHeight="1">
      <c r="I81" s="2"/>
      <c r="J81" s="2"/>
      <c r="K81" s="2"/>
      <c r="L81" s="2"/>
      <c r="M81" s="2"/>
      <c r="N81" s="2"/>
      <c r="O81" s="2"/>
      <c r="P81" s="2"/>
      <c r="Q81" s="2"/>
      <c r="R81" s="2"/>
      <c r="S81" s="2"/>
    </row>
    <row r="82" spans="9:19" ht="14.25" customHeight="1">
      <c r="I82" s="2"/>
      <c r="J82" s="2"/>
      <c r="K82" s="2"/>
      <c r="L82" s="2"/>
      <c r="M82" s="2"/>
      <c r="N82" s="2"/>
      <c r="O82" s="2"/>
      <c r="P82" s="2"/>
      <c r="Q82" s="2"/>
      <c r="R82" s="2"/>
      <c r="S82" s="2"/>
    </row>
    <row r="83" spans="9:19" ht="14.25" customHeight="1">
      <c r="I83" s="2"/>
      <c r="J83" s="2"/>
      <c r="K83" s="2"/>
      <c r="L83" s="2"/>
      <c r="M83" s="2"/>
      <c r="N83" s="2"/>
      <c r="O83" s="2"/>
      <c r="P83" s="2"/>
      <c r="Q83" s="2"/>
      <c r="R83" s="2"/>
      <c r="S83" s="2"/>
    </row>
    <row r="84" spans="9:19" ht="14.25" customHeight="1">
      <c r="I84" s="2"/>
      <c r="J84" s="2"/>
      <c r="K84" s="2"/>
      <c r="L84" s="2"/>
      <c r="M84" s="2"/>
      <c r="N84" s="2"/>
      <c r="O84" s="2"/>
      <c r="P84" s="2"/>
      <c r="Q84" s="2"/>
      <c r="R84" s="2"/>
      <c r="S84" s="2"/>
    </row>
    <row r="85" spans="9:19" ht="14.25" customHeight="1">
      <c r="I85" s="2"/>
      <c r="J85" s="2"/>
      <c r="K85" s="2"/>
      <c r="L85" s="2"/>
      <c r="M85" s="2"/>
      <c r="N85" s="2"/>
      <c r="O85" s="2"/>
      <c r="P85" s="2"/>
      <c r="Q85" s="2"/>
      <c r="R85" s="2"/>
      <c r="S85" s="2"/>
    </row>
    <row r="86" spans="9:19" ht="14.25" customHeight="1">
      <c r="I86" s="2"/>
      <c r="J86" s="2"/>
      <c r="K86" s="2"/>
      <c r="L86" s="2"/>
      <c r="M86" s="2"/>
      <c r="N86" s="2"/>
      <c r="O86" s="2"/>
      <c r="P86" s="2"/>
      <c r="Q86" s="2"/>
      <c r="R86" s="2"/>
      <c r="S86" s="2"/>
    </row>
    <row r="87" spans="9:19" ht="14.25" customHeight="1">
      <c r="I87" s="2"/>
      <c r="J87" s="2"/>
      <c r="K87" s="2"/>
      <c r="L87" s="2"/>
      <c r="M87" s="2"/>
      <c r="N87" s="2"/>
      <c r="O87" s="2"/>
      <c r="P87" s="2"/>
      <c r="Q87" s="2"/>
      <c r="R87" s="2"/>
      <c r="S87" s="2"/>
    </row>
    <row r="88" spans="9:19" ht="14.25" customHeight="1">
      <c r="I88" s="2"/>
      <c r="J88" s="2"/>
      <c r="K88" s="2"/>
      <c r="L88" s="2"/>
      <c r="M88" s="2"/>
      <c r="N88" s="2"/>
      <c r="O88" s="2"/>
      <c r="P88" s="2"/>
      <c r="Q88" s="2"/>
      <c r="R88" s="2"/>
      <c r="S88" s="2"/>
    </row>
    <row r="89" spans="9:19" ht="14.25" customHeight="1">
      <c r="I89" s="2"/>
      <c r="J89" s="2"/>
      <c r="K89" s="2"/>
      <c r="L89" s="2"/>
      <c r="M89" s="2"/>
      <c r="N89" s="2"/>
      <c r="O89" s="2"/>
      <c r="P89" s="2"/>
      <c r="Q89" s="2"/>
      <c r="R89" s="2"/>
      <c r="S89" s="2"/>
    </row>
    <row r="90" spans="9:19" ht="14.25" customHeight="1">
      <c r="I90" s="2"/>
      <c r="J90" s="2"/>
      <c r="K90" s="2"/>
      <c r="L90" s="2"/>
      <c r="M90" s="2"/>
      <c r="N90" s="2"/>
      <c r="O90" s="2"/>
      <c r="P90" s="2"/>
      <c r="Q90" s="2"/>
      <c r="R90" s="2"/>
      <c r="S90" s="2"/>
    </row>
    <row r="91" spans="9:19" ht="14.25" customHeight="1">
      <c r="I91" s="2"/>
      <c r="J91" s="2"/>
      <c r="K91" s="2"/>
      <c r="L91" s="2"/>
      <c r="M91" s="2"/>
      <c r="N91" s="2"/>
      <c r="O91" s="2"/>
      <c r="P91" s="2"/>
      <c r="Q91" s="2"/>
      <c r="R91" s="2"/>
      <c r="S91" s="2"/>
    </row>
    <row r="92" spans="9:19" ht="14.25" customHeight="1">
      <c r="I92" s="2"/>
      <c r="J92" s="2"/>
      <c r="K92" s="2"/>
      <c r="L92" s="2"/>
      <c r="M92" s="2"/>
      <c r="N92" s="2"/>
      <c r="O92" s="2"/>
      <c r="P92" s="2"/>
      <c r="Q92" s="2"/>
      <c r="R92" s="2"/>
      <c r="S92" s="2"/>
    </row>
    <row r="93" spans="9:19" ht="14.25" customHeight="1">
      <c r="I93" s="2"/>
      <c r="J93" s="2"/>
      <c r="K93" s="2"/>
      <c r="L93" s="2"/>
      <c r="M93" s="2"/>
      <c r="N93" s="2"/>
      <c r="O93" s="2"/>
      <c r="P93" s="2"/>
      <c r="Q93" s="2"/>
      <c r="R93" s="2"/>
      <c r="S93" s="2"/>
    </row>
    <row r="94" spans="9:19" ht="14.25" customHeight="1">
      <c r="I94" s="2"/>
      <c r="J94" s="2"/>
      <c r="K94" s="2"/>
      <c r="L94" s="2"/>
      <c r="M94" s="2"/>
      <c r="N94" s="2"/>
      <c r="O94" s="2"/>
      <c r="P94" s="2"/>
      <c r="Q94" s="2"/>
      <c r="R94" s="2"/>
      <c r="S94" s="2"/>
    </row>
    <row r="95" spans="9:19" ht="14.25" customHeight="1">
      <c r="I95" s="2"/>
      <c r="J95" s="2"/>
      <c r="K95" s="2"/>
      <c r="L95" s="2"/>
      <c r="M95" s="2"/>
      <c r="N95" s="2"/>
      <c r="O95" s="2"/>
      <c r="P95" s="2"/>
      <c r="Q95" s="2"/>
      <c r="R95" s="2"/>
      <c r="S95" s="2"/>
    </row>
    <row r="96" spans="9:19" ht="14.25" customHeight="1">
      <c r="I96" s="2"/>
      <c r="J96" s="2"/>
      <c r="K96" s="2"/>
      <c r="L96" s="2"/>
      <c r="M96" s="2"/>
      <c r="N96" s="2"/>
      <c r="O96" s="2"/>
      <c r="P96" s="2"/>
      <c r="Q96" s="2"/>
      <c r="R96" s="2"/>
      <c r="S96" s="2"/>
    </row>
    <row r="97" spans="9:19" ht="14.25" customHeight="1">
      <c r="I97" s="2"/>
      <c r="J97" s="2"/>
      <c r="K97" s="2"/>
      <c r="L97" s="2"/>
      <c r="M97" s="2"/>
      <c r="N97" s="2"/>
      <c r="O97" s="2"/>
      <c r="P97" s="2"/>
      <c r="Q97" s="2"/>
      <c r="R97" s="2"/>
      <c r="S97" s="2"/>
    </row>
    <row r="98" spans="9:19" ht="14.25" customHeight="1">
      <c r="I98" s="2"/>
      <c r="J98" s="2"/>
      <c r="K98" s="2"/>
      <c r="L98" s="2"/>
      <c r="M98" s="2"/>
      <c r="N98" s="2"/>
      <c r="O98" s="2"/>
      <c r="P98" s="2"/>
      <c r="Q98" s="2"/>
      <c r="R98" s="2"/>
      <c r="S98" s="2"/>
    </row>
    <row r="99" spans="9:19" ht="14.25" customHeight="1">
      <c r="I99" s="2"/>
      <c r="J99" s="2"/>
      <c r="K99" s="2"/>
      <c r="L99" s="2"/>
      <c r="M99" s="2"/>
      <c r="N99" s="2"/>
      <c r="O99" s="2"/>
      <c r="P99" s="2"/>
      <c r="Q99" s="2"/>
      <c r="R99" s="2"/>
      <c r="S99" s="2"/>
    </row>
    <row r="100" spans="9:19" ht="14.25" customHeight="1">
      <c r="I100" s="2"/>
      <c r="J100" s="2"/>
      <c r="K100" s="2"/>
      <c r="L100" s="2"/>
      <c r="M100" s="2"/>
      <c r="N100" s="2"/>
      <c r="O100" s="2"/>
      <c r="P100" s="2"/>
      <c r="Q100" s="2"/>
      <c r="R100" s="2"/>
      <c r="S100" s="2"/>
    </row>
    <row r="101" spans="9:19" ht="14.25" customHeight="1">
      <c r="I101" s="2"/>
      <c r="J101" s="2"/>
      <c r="K101" s="2"/>
      <c r="L101" s="2"/>
      <c r="M101" s="2"/>
      <c r="N101" s="2"/>
      <c r="O101" s="2"/>
      <c r="P101" s="2"/>
      <c r="Q101" s="2"/>
      <c r="R101" s="2"/>
      <c r="S101" s="2"/>
    </row>
    <row r="102" spans="9:19" ht="14.25" customHeight="1">
      <c r="I102" s="2"/>
      <c r="J102" s="2"/>
      <c r="K102" s="2"/>
      <c r="L102" s="2"/>
      <c r="M102" s="2"/>
      <c r="N102" s="2"/>
      <c r="O102" s="2"/>
      <c r="P102" s="2"/>
      <c r="Q102" s="2"/>
      <c r="R102" s="2"/>
      <c r="S102" s="2"/>
    </row>
    <row r="103" spans="9:19" ht="14.25" customHeight="1">
      <c r="I103" s="2"/>
      <c r="J103" s="2"/>
      <c r="K103" s="2"/>
      <c r="L103" s="2"/>
      <c r="M103" s="2"/>
      <c r="N103" s="2"/>
      <c r="O103" s="2"/>
      <c r="P103" s="2"/>
      <c r="Q103" s="2"/>
      <c r="R103" s="2"/>
      <c r="S103" s="2"/>
    </row>
    <row r="104" spans="9:19" ht="14.25" customHeight="1">
      <c r="I104" s="2"/>
      <c r="J104" s="2"/>
      <c r="K104" s="2"/>
      <c r="L104" s="2"/>
      <c r="M104" s="2"/>
      <c r="N104" s="2"/>
      <c r="O104" s="2"/>
      <c r="P104" s="2"/>
      <c r="Q104" s="2"/>
      <c r="R104" s="2"/>
      <c r="S104" s="2"/>
    </row>
    <row r="105" spans="9:19" ht="14.25" customHeight="1">
      <c r="I105" s="2"/>
      <c r="J105" s="2"/>
      <c r="K105" s="2"/>
      <c r="L105" s="2"/>
      <c r="M105" s="2"/>
      <c r="N105" s="2"/>
      <c r="O105" s="2"/>
      <c r="P105" s="2"/>
      <c r="Q105" s="2"/>
      <c r="R105" s="2"/>
      <c r="S105" s="2"/>
    </row>
    <row r="106" spans="9:19" ht="14.25" customHeight="1">
      <c r="I106" s="2"/>
      <c r="J106" s="2"/>
      <c r="K106" s="2"/>
      <c r="L106" s="2"/>
      <c r="M106" s="2"/>
      <c r="N106" s="2"/>
      <c r="O106" s="2"/>
      <c r="P106" s="2"/>
      <c r="Q106" s="2"/>
      <c r="R106" s="2"/>
      <c r="S106" s="2"/>
    </row>
    <row r="107" spans="9:19" ht="14.25" customHeight="1">
      <c r="I107" s="2"/>
      <c r="J107" s="2"/>
      <c r="K107" s="2"/>
      <c r="L107" s="2"/>
      <c r="M107" s="2"/>
      <c r="N107" s="2"/>
      <c r="O107" s="2"/>
      <c r="P107" s="2"/>
      <c r="Q107" s="2"/>
      <c r="R107" s="2"/>
      <c r="S107" s="2"/>
    </row>
    <row r="108" spans="9:19" ht="14.25" customHeight="1">
      <c r="I108" s="2"/>
      <c r="J108" s="2"/>
      <c r="K108" s="2"/>
      <c r="L108" s="2"/>
      <c r="M108" s="2"/>
      <c r="N108" s="2"/>
      <c r="O108" s="2"/>
      <c r="P108" s="2"/>
      <c r="Q108" s="2"/>
      <c r="R108" s="2"/>
      <c r="S108" s="2"/>
    </row>
    <row r="109" spans="9:19" ht="14.25" customHeight="1">
      <c r="I109" s="2"/>
      <c r="J109" s="2"/>
      <c r="K109" s="2"/>
      <c r="L109" s="2"/>
      <c r="M109" s="2"/>
      <c r="N109" s="2"/>
      <c r="O109" s="2"/>
      <c r="P109" s="2"/>
      <c r="Q109" s="2"/>
      <c r="R109" s="2"/>
      <c r="S109" s="2"/>
    </row>
    <row r="110" spans="9:19" ht="14.25" customHeight="1">
      <c r="I110" s="2"/>
      <c r="J110" s="2"/>
      <c r="K110" s="2"/>
      <c r="L110" s="2"/>
      <c r="M110" s="2"/>
      <c r="N110" s="2"/>
      <c r="O110" s="2"/>
      <c r="P110" s="2"/>
      <c r="Q110" s="2"/>
      <c r="R110" s="2"/>
      <c r="S110" s="2"/>
    </row>
    <row r="111" spans="9:19" ht="14.25" customHeight="1">
      <c r="I111" s="2"/>
      <c r="J111" s="2"/>
      <c r="K111" s="2"/>
      <c r="L111" s="2"/>
      <c r="M111" s="2"/>
      <c r="N111" s="2"/>
      <c r="O111" s="2"/>
      <c r="P111" s="2"/>
      <c r="Q111" s="2"/>
      <c r="R111" s="2"/>
      <c r="S111" s="2"/>
    </row>
    <row r="112" spans="9:19" ht="14.25" customHeight="1">
      <c r="I112" s="2"/>
      <c r="J112" s="2"/>
      <c r="K112" s="2"/>
      <c r="L112" s="2"/>
      <c r="M112" s="2"/>
      <c r="N112" s="2"/>
      <c r="O112" s="2"/>
      <c r="P112" s="2"/>
      <c r="Q112" s="2"/>
      <c r="R112" s="2"/>
      <c r="S112" s="2"/>
    </row>
    <row r="113" spans="9:19" ht="14.25" customHeight="1">
      <c r="I113" s="2"/>
      <c r="J113" s="2"/>
      <c r="K113" s="2"/>
      <c r="L113" s="2"/>
      <c r="M113" s="2"/>
      <c r="N113" s="2"/>
      <c r="O113" s="2"/>
      <c r="P113" s="2"/>
      <c r="Q113" s="2"/>
      <c r="R113" s="2"/>
      <c r="S113" s="2"/>
    </row>
    <row r="114" spans="9:19" ht="14.25" customHeight="1">
      <c r="I114" s="2"/>
      <c r="J114" s="2"/>
      <c r="K114" s="2"/>
      <c r="L114" s="2"/>
      <c r="M114" s="2"/>
      <c r="N114" s="2"/>
      <c r="O114" s="2"/>
      <c r="P114" s="2"/>
      <c r="Q114" s="2"/>
      <c r="R114" s="2"/>
      <c r="S114" s="2"/>
    </row>
    <row r="115" spans="9:19" ht="14.25" customHeight="1">
      <c r="I115" s="2"/>
      <c r="J115" s="2"/>
      <c r="K115" s="2"/>
      <c r="L115" s="2"/>
      <c r="M115" s="2"/>
      <c r="N115" s="2"/>
      <c r="O115" s="2"/>
      <c r="P115" s="2"/>
      <c r="Q115" s="2"/>
      <c r="R115" s="2"/>
      <c r="S115" s="2"/>
    </row>
    <row r="116" spans="9:19" ht="14.25" customHeight="1">
      <c r="I116" s="2"/>
      <c r="J116" s="2"/>
      <c r="K116" s="2"/>
      <c r="L116" s="2"/>
      <c r="M116" s="2"/>
      <c r="N116" s="2"/>
      <c r="O116" s="2"/>
      <c r="P116" s="2"/>
      <c r="Q116" s="2"/>
      <c r="R116" s="2"/>
      <c r="S116" s="2"/>
    </row>
    <row r="117" spans="9:19" ht="14.25" customHeight="1">
      <c r="I117" s="2"/>
      <c r="J117" s="2"/>
      <c r="K117" s="2"/>
      <c r="L117" s="2"/>
      <c r="M117" s="2"/>
      <c r="N117" s="2"/>
      <c r="O117" s="2"/>
      <c r="P117" s="2"/>
      <c r="Q117" s="2"/>
      <c r="R117" s="2"/>
      <c r="S117" s="2"/>
    </row>
    <row r="118" spans="9:19" ht="14.25" customHeight="1">
      <c r="I118" s="2"/>
      <c r="J118" s="2"/>
      <c r="K118" s="2"/>
      <c r="L118" s="2"/>
      <c r="M118" s="2"/>
      <c r="N118" s="2"/>
      <c r="O118" s="2"/>
      <c r="P118" s="2"/>
      <c r="Q118" s="2"/>
      <c r="R118" s="2"/>
      <c r="S118" s="2"/>
    </row>
    <row r="119" spans="9:19" ht="14.25" customHeight="1">
      <c r="I119" s="2"/>
      <c r="J119" s="2"/>
      <c r="K119" s="2"/>
      <c r="L119" s="2"/>
      <c r="M119" s="2"/>
      <c r="N119" s="2"/>
      <c r="O119" s="2"/>
      <c r="P119" s="2"/>
      <c r="Q119" s="2"/>
      <c r="R119" s="2"/>
      <c r="S119" s="2"/>
    </row>
    <row r="120" spans="9:19" ht="14.25" customHeight="1">
      <c r="I120" s="2"/>
      <c r="J120" s="2"/>
      <c r="K120" s="2"/>
      <c r="L120" s="2"/>
      <c r="M120" s="2"/>
      <c r="N120" s="2"/>
      <c r="O120" s="2"/>
      <c r="P120" s="2"/>
      <c r="Q120" s="2"/>
      <c r="R120" s="2"/>
      <c r="S120" s="2"/>
    </row>
    <row r="121" spans="9:19" ht="14.25" customHeight="1">
      <c r="I121" s="2"/>
      <c r="J121" s="2"/>
      <c r="K121" s="2"/>
      <c r="L121" s="2"/>
      <c r="M121" s="2"/>
      <c r="N121" s="2"/>
      <c r="O121" s="2"/>
      <c r="P121" s="2"/>
      <c r="Q121" s="2"/>
      <c r="R121" s="2"/>
      <c r="S121" s="2"/>
    </row>
    <row r="122" spans="9:19" ht="14.25" customHeight="1">
      <c r="I122" s="2"/>
      <c r="J122" s="2"/>
      <c r="K122" s="2"/>
      <c r="L122" s="2"/>
      <c r="M122" s="2"/>
      <c r="N122" s="2"/>
      <c r="O122" s="2"/>
      <c r="P122" s="2"/>
      <c r="Q122" s="2"/>
      <c r="R122" s="2"/>
      <c r="S122" s="2"/>
    </row>
    <row r="123" spans="9:19" ht="14.25" customHeight="1">
      <c r="I123" s="2"/>
      <c r="J123" s="2"/>
      <c r="K123" s="2"/>
      <c r="L123" s="2"/>
      <c r="M123" s="2"/>
      <c r="N123" s="2"/>
      <c r="O123" s="2"/>
      <c r="P123" s="2"/>
      <c r="Q123" s="2"/>
      <c r="R123" s="2"/>
      <c r="S123" s="2"/>
    </row>
    <row r="124" spans="9:19" ht="14.25" customHeight="1">
      <c r="I124" s="2"/>
      <c r="J124" s="2"/>
      <c r="K124" s="2"/>
      <c r="L124" s="2"/>
      <c r="M124" s="2"/>
      <c r="N124" s="2"/>
      <c r="O124" s="2"/>
      <c r="P124" s="2"/>
      <c r="Q124" s="2"/>
      <c r="R124" s="2"/>
      <c r="S124" s="2"/>
    </row>
    <row r="125" spans="9:19" ht="14.25" customHeight="1">
      <c r="I125" s="2"/>
      <c r="J125" s="2"/>
      <c r="K125" s="2"/>
      <c r="L125" s="2"/>
      <c r="M125" s="2"/>
      <c r="N125" s="2"/>
      <c r="O125" s="2"/>
      <c r="P125" s="2"/>
      <c r="Q125" s="2"/>
      <c r="R125" s="2"/>
      <c r="S125" s="2"/>
    </row>
    <row r="126" spans="9:19" ht="14.25" customHeight="1">
      <c r="I126" s="2"/>
      <c r="J126" s="2"/>
      <c r="K126" s="2"/>
      <c r="L126" s="2"/>
      <c r="M126" s="2"/>
      <c r="N126" s="2"/>
      <c r="O126" s="2"/>
      <c r="P126" s="2"/>
      <c r="Q126" s="2"/>
      <c r="R126" s="2"/>
      <c r="S126" s="2"/>
    </row>
    <row r="127" spans="9:19" ht="14.25" customHeight="1">
      <c r="I127" s="2"/>
      <c r="J127" s="2"/>
      <c r="K127" s="2"/>
      <c r="L127" s="2"/>
      <c r="M127" s="2"/>
      <c r="N127" s="2"/>
      <c r="O127" s="2"/>
      <c r="P127" s="2"/>
      <c r="Q127" s="2"/>
      <c r="R127" s="2"/>
      <c r="S127" s="2"/>
    </row>
    <row r="128" spans="9:19" ht="14.25" customHeight="1">
      <c r="I128" s="2"/>
      <c r="J128" s="2"/>
      <c r="K128" s="2"/>
      <c r="L128" s="2"/>
      <c r="M128" s="2"/>
      <c r="N128" s="2"/>
      <c r="O128" s="2"/>
      <c r="P128" s="2"/>
      <c r="Q128" s="2"/>
      <c r="R128" s="2"/>
      <c r="S128" s="2"/>
    </row>
    <row r="129" spans="9:19" ht="14.25" customHeight="1">
      <c r="I129" s="2"/>
      <c r="J129" s="2"/>
      <c r="K129" s="2"/>
      <c r="L129" s="2"/>
      <c r="M129" s="2"/>
      <c r="N129" s="2"/>
      <c r="O129" s="2"/>
      <c r="P129" s="2"/>
      <c r="Q129" s="2"/>
      <c r="R129" s="2"/>
      <c r="S129" s="2"/>
    </row>
    <row r="130" spans="9:19" ht="14.25" customHeight="1">
      <c r="I130" s="2"/>
      <c r="J130" s="2"/>
      <c r="K130" s="2"/>
      <c r="L130" s="2"/>
      <c r="M130" s="2"/>
      <c r="N130" s="2"/>
      <c r="O130" s="2"/>
      <c r="P130" s="2"/>
      <c r="Q130" s="2"/>
      <c r="R130" s="2"/>
      <c r="S130" s="2"/>
    </row>
    <row r="131" spans="9:19" ht="14.25" customHeight="1">
      <c r="I131" s="2"/>
      <c r="J131" s="2"/>
      <c r="K131" s="2"/>
      <c r="L131" s="2"/>
      <c r="M131" s="2"/>
      <c r="N131" s="2"/>
      <c r="O131" s="2"/>
      <c r="P131" s="2"/>
      <c r="Q131" s="2"/>
      <c r="R131" s="2"/>
      <c r="S131" s="2"/>
    </row>
    <row r="132" spans="9:19" ht="14.25" customHeight="1">
      <c r="I132" s="2"/>
      <c r="J132" s="2"/>
      <c r="K132" s="2"/>
      <c r="L132" s="2"/>
      <c r="M132" s="2"/>
      <c r="N132" s="2"/>
      <c r="O132" s="2"/>
      <c r="P132" s="2"/>
      <c r="Q132" s="2"/>
      <c r="R132" s="2"/>
      <c r="S132" s="2"/>
    </row>
    <row r="133" spans="9:19" ht="14.25" customHeight="1">
      <c r="I133" s="2"/>
      <c r="J133" s="2"/>
      <c r="K133" s="2"/>
      <c r="L133" s="2"/>
      <c r="M133" s="2"/>
      <c r="N133" s="2"/>
      <c r="O133" s="2"/>
      <c r="P133" s="2"/>
      <c r="Q133" s="2"/>
      <c r="R133" s="2"/>
      <c r="S133" s="2"/>
    </row>
    <row r="134" spans="9:19" ht="14.25" customHeight="1">
      <c r="I134" s="2"/>
      <c r="J134" s="2"/>
      <c r="K134" s="2"/>
      <c r="L134" s="2"/>
      <c r="M134" s="2"/>
      <c r="N134" s="2"/>
      <c r="O134" s="2"/>
      <c r="P134" s="2"/>
      <c r="Q134" s="2"/>
      <c r="R134" s="2"/>
      <c r="S134" s="2"/>
    </row>
    <row r="135" spans="9:19" ht="14.25" customHeight="1">
      <c r="I135" s="2"/>
      <c r="J135" s="2"/>
      <c r="K135" s="2"/>
      <c r="L135" s="2"/>
      <c r="M135" s="2"/>
      <c r="N135" s="2"/>
      <c r="O135" s="2"/>
      <c r="P135" s="2"/>
      <c r="Q135" s="2"/>
      <c r="R135" s="2"/>
      <c r="S135" s="2"/>
    </row>
    <row r="136" spans="9:19" ht="14.25" customHeight="1">
      <c r="I136" s="2"/>
      <c r="J136" s="2"/>
      <c r="K136" s="2"/>
      <c r="L136" s="2"/>
      <c r="M136" s="2"/>
      <c r="N136" s="2"/>
      <c r="O136" s="2"/>
      <c r="P136" s="2"/>
      <c r="Q136" s="2"/>
      <c r="R136" s="2"/>
      <c r="S136" s="2"/>
    </row>
    <row r="137" spans="9:19" ht="14.25" customHeight="1">
      <c r="I137" s="2"/>
      <c r="J137" s="2"/>
      <c r="K137" s="2"/>
      <c r="L137" s="2"/>
      <c r="M137" s="2"/>
      <c r="N137" s="2"/>
      <c r="O137" s="2"/>
      <c r="P137" s="2"/>
      <c r="Q137" s="2"/>
      <c r="R137" s="2"/>
      <c r="S137" s="2"/>
    </row>
    <row r="138" spans="9:19" ht="14.25" customHeight="1">
      <c r="I138" s="2"/>
      <c r="J138" s="2"/>
      <c r="K138" s="2"/>
      <c r="L138" s="2"/>
      <c r="M138" s="2"/>
      <c r="N138" s="2"/>
      <c r="O138" s="2"/>
      <c r="P138" s="2"/>
      <c r="Q138" s="2"/>
      <c r="R138" s="2"/>
      <c r="S138" s="2"/>
    </row>
    <row r="139" spans="9:19" ht="14.25" customHeight="1">
      <c r="I139" s="2"/>
      <c r="J139" s="2"/>
      <c r="K139" s="2"/>
      <c r="L139" s="2"/>
      <c r="M139" s="2"/>
      <c r="N139" s="2"/>
      <c r="O139" s="2"/>
      <c r="P139" s="2"/>
      <c r="Q139" s="2"/>
      <c r="R139" s="2"/>
      <c r="S139" s="2"/>
    </row>
    <row r="140" spans="9:19" ht="14.25" customHeight="1">
      <c r="I140" s="2"/>
      <c r="J140" s="2"/>
      <c r="K140" s="2"/>
      <c r="L140" s="2"/>
      <c r="M140" s="2"/>
      <c r="N140" s="2"/>
      <c r="O140" s="2"/>
      <c r="P140" s="2"/>
      <c r="Q140" s="2"/>
      <c r="R140" s="2"/>
      <c r="S140" s="2"/>
    </row>
    <row r="141" spans="9:19" ht="14.25" customHeight="1">
      <c r="I141" s="2"/>
      <c r="J141" s="2"/>
      <c r="K141" s="2"/>
      <c r="L141" s="2"/>
      <c r="M141" s="2"/>
      <c r="N141" s="2"/>
      <c r="O141" s="2"/>
      <c r="P141" s="2"/>
      <c r="Q141" s="2"/>
      <c r="R141" s="2"/>
      <c r="S141" s="2"/>
    </row>
    <row r="142" spans="9:19" ht="14.25" customHeight="1">
      <c r="I142" s="2"/>
      <c r="J142" s="2"/>
      <c r="K142" s="2"/>
      <c r="L142" s="2"/>
      <c r="M142" s="2"/>
      <c r="N142" s="2"/>
      <c r="O142" s="2"/>
      <c r="P142" s="2"/>
      <c r="Q142" s="2"/>
      <c r="R142" s="2"/>
      <c r="S142" s="2"/>
    </row>
    <row r="143" spans="9:19" ht="14.25" customHeight="1">
      <c r="I143" s="2"/>
      <c r="J143" s="2"/>
      <c r="K143" s="2"/>
      <c r="L143" s="2"/>
      <c r="M143" s="2"/>
      <c r="N143" s="2"/>
      <c r="O143" s="2"/>
      <c r="P143" s="2"/>
      <c r="Q143" s="2"/>
      <c r="R143" s="2"/>
      <c r="S143" s="2"/>
    </row>
    <row r="144" spans="9:19" ht="14.25" customHeight="1">
      <c r="I144" s="2"/>
      <c r="J144" s="2"/>
      <c r="K144" s="2"/>
      <c r="L144" s="2"/>
      <c r="M144" s="2"/>
      <c r="N144" s="2"/>
      <c r="O144" s="2"/>
      <c r="P144" s="2"/>
      <c r="Q144" s="2"/>
      <c r="R144" s="2"/>
      <c r="S144" s="2"/>
    </row>
    <row r="145" spans="9:19" ht="14.25" customHeight="1">
      <c r="I145" s="2"/>
      <c r="J145" s="2"/>
      <c r="K145" s="2"/>
      <c r="L145" s="2"/>
      <c r="M145" s="2"/>
      <c r="N145" s="2"/>
      <c r="O145" s="2"/>
      <c r="P145" s="2"/>
      <c r="Q145" s="2"/>
      <c r="R145" s="2"/>
      <c r="S145" s="2"/>
    </row>
    <row r="146" spans="9:19" ht="14.25" customHeight="1">
      <c r="I146" s="2"/>
      <c r="J146" s="2"/>
      <c r="K146" s="2"/>
      <c r="L146" s="2"/>
      <c r="M146" s="2"/>
      <c r="N146" s="2"/>
      <c r="O146" s="2"/>
      <c r="P146" s="2"/>
      <c r="Q146" s="2"/>
      <c r="R146" s="2"/>
      <c r="S146" s="2"/>
    </row>
    <row r="147" spans="9:19" ht="14.25" customHeight="1">
      <c r="I147" s="2"/>
      <c r="J147" s="2"/>
      <c r="K147" s="2"/>
      <c r="L147" s="2"/>
      <c r="M147" s="2"/>
      <c r="N147" s="2"/>
      <c r="O147" s="2"/>
      <c r="P147" s="2"/>
      <c r="Q147" s="2"/>
      <c r="R147" s="2"/>
      <c r="S147" s="2"/>
    </row>
    <row r="148" spans="9:19" ht="14.25" customHeight="1">
      <c r="I148" s="2"/>
      <c r="J148" s="2"/>
      <c r="K148" s="2"/>
      <c r="L148" s="2"/>
      <c r="M148" s="2"/>
      <c r="N148" s="2"/>
      <c r="O148" s="2"/>
      <c r="P148" s="2"/>
      <c r="Q148" s="2"/>
      <c r="R148" s="2"/>
      <c r="S148" s="2"/>
    </row>
    <row r="149" spans="9:19" ht="14.25" customHeight="1">
      <c r="I149" s="2"/>
      <c r="J149" s="2"/>
      <c r="K149" s="2"/>
      <c r="L149" s="2"/>
      <c r="M149" s="2"/>
      <c r="N149" s="2"/>
      <c r="O149" s="2"/>
      <c r="P149" s="2"/>
      <c r="Q149" s="2"/>
      <c r="R149" s="2"/>
      <c r="S149" s="2"/>
    </row>
    <row r="150" spans="9:19" ht="14.25" customHeight="1">
      <c r="I150" s="2"/>
      <c r="J150" s="2"/>
      <c r="K150" s="2"/>
      <c r="L150" s="2"/>
      <c r="M150" s="2"/>
      <c r="N150" s="2"/>
      <c r="O150" s="2"/>
      <c r="P150" s="2"/>
      <c r="Q150" s="2"/>
      <c r="R150" s="2"/>
      <c r="S150" s="2"/>
    </row>
    <row r="151" spans="9:19" ht="14.25" customHeight="1">
      <c r="I151" s="2"/>
      <c r="J151" s="2"/>
      <c r="K151" s="2"/>
      <c r="L151" s="2"/>
      <c r="M151" s="2"/>
      <c r="N151" s="2"/>
      <c r="O151" s="2"/>
      <c r="P151" s="2"/>
      <c r="Q151" s="2"/>
      <c r="R151" s="2"/>
      <c r="S151" s="2"/>
    </row>
    <row r="152" spans="9:19" ht="14.25" customHeight="1">
      <c r="I152" s="2"/>
      <c r="J152" s="2"/>
      <c r="K152" s="2"/>
      <c r="L152" s="2"/>
      <c r="M152" s="2"/>
      <c r="N152" s="2"/>
      <c r="O152" s="2"/>
      <c r="P152" s="2"/>
      <c r="Q152" s="2"/>
      <c r="R152" s="2"/>
      <c r="S152" s="2"/>
    </row>
    <row r="153" spans="9:19" ht="14.25" customHeight="1">
      <c r="I153" s="2"/>
      <c r="J153" s="2"/>
      <c r="K153" s="2"/>
      <c r="L153" s="2"/>
      <c r="M153" s="2"/>
      <c r="N153" s="2"/>
      <c r="O153" s="2"/>
      <c r="P153" s="2"/>
      <c r="Q153" s="2"/>
      <c r="R153" s="2"/>
      <c r="S153" s="2"/>
    </row>
    <row r="154" spans="9:19" ht="14.25" customHeight="1">
      <c r="I154" s="2"/>
      <c r="J154" s="2"/>
      <c r="K154" s="2"/>
      <c r="L154" s="2"/>
      <c r="M154" s="2"/>
      <c r="N154" s="2"/>
      <c r="O154" s="2"/>
      <c r="P154" s="2"/>
      <c r="Q154" s="2"/>
      <c r="R154" s="2"/>
      <c r="S154" s="2"/>
    </row>
    <row r="155" spans="9:19" ht="14.25" customHeight="1">
      <c r="I155" s="2"/>
      <c r="J155" s="2"/>
      <c r="K155" s="2"/>
      <c r="L155" s="2"/>
      <c r="M155" s="2"/>
      <c r="N155" s="2"/>
      <c r="O155" s="2"/>
      <c r="P155" s="2"/>
      <c r="Q155" s="2"/>
      <c r="R155" s="2"/>
      <c r="S155" s="2"/>
    </row>
    <row r="156" spans="9:19" ht="14.25" customHeight="1">
      <c r="I156" s="2"/>
      <c r="J156" s="2"/>
      <c r="K156" s="2"/>
      <c r="L156" s="2"/>
      <c r="M156" s="2"/>
      <c r="N156" s="2"/>
      <c r="O156" s="2"/>
      <c r="P156" s="2"/>
      <c r="Q156" s="2"/>
      <c r="R156" s="2"/>
      <c r="S156" s="2"/>
    </row>
    <row r="157" spans="9:19" ht="14.25" customHeight="1">
      <c r="I157" s="2"/>
      <c r="J157" s="2"/>
      <c r="K157" s="2"/>
      <c r="L157" s="2"/>
      <c r="M157" s="2"/>
      <c r="N157" s="2"/>
      <c r="O157" s="2"/>
      <c r="P157" s="2"/>
      <c r="Q157" s="2"/>
      <c r="R157" s="2"/>
      <c r="S157" s="2"/>
    </row>
    <row r="158" spans="9:19" ht="14.25" customHeight="1">
      <c r="I158" s="2"/>
      <c r="J158" s="2"/>
      <c r="K158" s="2"/>
      <c r="L158" s="2"/>
      <c r="M158" s="2"/>
      <c r="N158" s="2"/>
      <c r="O158" s="2"/>
      <c r="P158" s="2"/>
      <c r="Q158" s="2"/>
      <c r="R158" s="2"/>
      <c r="S158" s="2"/>
    </row>
    <row r="159" spans="9:19" ht="14.25" customHeight="1">
      <c r="I159" s="2"/>
      <c r="J159" s="2"/>
      <c r="K159" s="2"/>
      <c r="L159" s="2"/>
      <c r="M159" s="2"/>
      <c r="N159" s="2"/>
      <c r="O159" s="2"/>
      <c r="P159" s="2"/>
      <c r="Q159" s="2"/>
      <c r="R159" s="2"/>
      <c r="S159" s="2"/>
    </row>
    <row r="160" spans="9:19" ht="14.25" customHeight="1">
      <c r="I160" s="2"/>
      <c r="J160" s="2"/>
      <c r="K160" s="2"/>
      <c r="L160" s="2"/>
      <c r="M160" s="2"/>
      <c r="N160" s="2"/>
      <c r="O160" s="2"/>
      <c r="P160" s="2"/>
      <c r="Q160" s="2"/>
      <c r="R160" s="2"/>
      <c r="S160" s="2"/>
    </row>
    <row r="161" spans="9:19" ht="14.25" customHeight="1">
      <c r="I161" s="2"/>
      <c r="J161" s="2"/>
      <c r="K161" s="2"/>
      <c r="L161" s="2"/>
      <c r="M161" s="2"/>
      <c r="N161" s="2"/>
      <c r="O161" s="2"/>
      <c r="P161" s="2"/>
      <c r="Q161" s="2"/>
      <c r="R161" s="2"/>
      <c r="S161" s="2"/>
    </row>
    <row r="162" spans="9:19" ht="14.25" customHeight="1">
      <c r="I162" s="2"/>
      <c r="J162" s="2"/>
      <c r="K162" s="2"/>
      <c r="L162" s="2"/>
      <c r="M162" s="2"/>
      <c r="N162" s="2"/>
      <c r="O162" s="2"/>
      <c r="P162" s="2"/>
      <c r="Q162" s="2"/>
      <c r="R162" s="2"/>
      <c r="S162" s="2"/>
    </row>
    <row r="163" spans="9:19" ht="14.25" customHeight="1">
      <c r="I163" s="2"/>
      <c r="J163" s="2"/>
      <c r="K163" s="2"/>
      <c r="L163" s="2"/>
      <c r="M163" s="2"/>
      <c r="N163" s="2"/>
      <c r="O163" s="2"/>
      <c r="P163" s="2"/>
      <c r="Q163" s="2"/>
      <c r="R163" s="2"/>
      <c r="S163" s="2"/>
    </row>
    <row r="164" spans="9:19" ht="14.25" customHeight="1">
      <c r="I164" s="2"/>
      <c r="J164" s="2"/>
      <c r="K164" s="2"/>
      <c r="L164" s="2"/>
      <c r="M164" s="2"/>
      <c r="N164" s="2"/>
      <c r="O164" s="2"/>
      <c r="P164" s="2"/>
      <c r="Q164" s="2"/>
      <c r="R164" s="2"/>
      <c r="S164" s="2"/>
    </row>
    <row r="165" spans="9:19" ht="14.25" customHeight="1">
      <c r="I165" s="2"/>
      <c r="J165" s="2"/>
      <c r="K165" s="2"/>
      <c r="L165" s="2"/>
      <c r="M165" s="2"/>
      <c r="N165" s="2"/>
      <c r="O165" s="2"/>
      <c r="P165" s="2"/>
      <c r="Q165" s="2"/>
      <c r="R165" s="2"/>
      <c r="S165" s="2"/>
    </row>
    <row r="166" spans="9:19" ht="14.25" customHeight="1">
      <c r="I166" s="2"/>
      <c r="J166" s="2"/>
      <c r="K166" s="2"/>
      <c r="L166" s="2"/>
      <c r="M166" s="2"/>
      <c r="N166" s="2"/>
      <c r="O166" s="2"/>
      <c r="P166" s="2"/>
      <c r="Q166" s="2"/>
      <c r="R166" s="2"/>
      <c r="S166" s="2"/>
    </row>
    <row r="167" spans="9:19" ht="14.25" customHeight="1">
      <c r="I167" s="2"/>
      <c r="J167" s="2"/>
      <c r="K167" s="2"/>
      <c r="L167" s="2"/>
      <c r="M167" s="2"/>
      <c r="N167" s="2"/>
      <c r="O167" s="2"/>
      <c r="P167" s="2"/>
      <c r="Q167" s="2"/>
      <c r="R167" s="2"/>
      <c r="S167" s="2"/>
    </row>
    <row r="168" spans="9:19" ht="14.25" customHeight="1">
      <c r="I168" s="2"/>
      <c r="J168" s="2"/>
      <c r="K168" s="2"/>
      <c r="L168" s="2"/>
      <c r="M168" s="2"/>
      <c r="N168" s="2"/>
      <c r="O168" s="2"/>
      <c r="P168" s="2"/>
      <c r="Q168" s="2"/>
      <c r="R168" s="2"/>
      <c r="S168" s="2"/>
    </row>
    <row r="169" spans="9:19" ht="14.25" customHeight="1">
      <c r="I169" s="2"/>
      <c r="J169" s="2"/>
      <c r="K169" s="2"/>
      <c r="L169" s="2"/>
      <c r="M169" s="2"/>
      <c r="N169" s="2"/>
      <c r="O169" s="2"/>
      <c r="P169" s="2"/>
      <c r="Q169" s="2"/>
      <c r="R169" s="2"/>
      <c r="S169" s="2"/>
    </row>
    <row r="170" spans="9:19" ht="14.25" customHeight="1">
      <c r="I170" s="2"/>
      <c r="J170" s="2"/>
      <c r="K170" s="2"/>
      <c r="L170" s="2"/>
      <c r="M170" s="2"/>
      <c r="N170" s="2"/>
      <c r="O170" s="2"/>
      <c r="P170" s="2"/>
      <c r="Q170" s="2"/>
      <c r="R170" s="2"/>
      <c r="S170" s="2"/>
    </row>
    <row r="171" spans="9:19" ht="14.25" customHeight="1">
      <c r="I171" s="2"/>
      <c r="J171" s="2"/>
      <c r="K171" s="2"/>
      <c r="L171" s="2"/>
      <c r="M171" s="2"/>
      <c r="N171" s="2"/>
      <c r="O171" s="2"/>
      <c r="P171" s="2"/>
      <c r="Q171" s="2"/>
      <c r="R171" s="2"/>
      <c r="S171" s="2"/>
    </row>
    <row r="172" spans="9:19" ht="14.25" customHeight="1">
      <c r="I172" s="2"/>
      <c r="J172" s="2"/>
      <c r="K172" s="2"/>
      <c r="L172" s="2"/>
      <c r="M172" s="2"/>
      <c r="N172" s="2"/>
      <c r="O172" s="2"/>
      <c r="P172" s="2"/>
      <c r="Q172" s="2"/>
      <c r="R172" s="2"/>
      <c r="S172" s="2"/>
    </row>
    <row r="173" spans="9:19" ht="14.25" customHeight="1">
      <c r="I173" s="2"/>
      <c r="J173" s="2"/>
      <c r="K173" s="2"/>
      <c r="L173" s="2"/>
      <c r="M173" s="2"/>
      <c r="N173" s="2"/>
      <c r="O173" s="2"/>
      <c r="P173" s="2"/>
      <c r="Q173" s="2"/>
      <c r="R173" s="2"/>
      <c r="S173" s="2"/>
    </row>
    <row r="174" spans="9:19" ht="14.25" customHeight="1">
      <c r="I174" s="2"/>
      <c r="J174" s="2"/>
      <c r="K174" s="2"/>
      <c r="L174" s="2"/>
      <c r="M174" s="2"/>
      <c r="N174" s="2"/>
      <c r="O174" s="2"/>
      <c r="P174" s="2"/>
      <c r="Q174" s="2"/>
      <c r="R174" s="2"/>
      <c r="S174" s="2"/>
    </row>
    <row r="175" spans="9:19" ht="14.25" customHeight="1">
      <c r="I175" s="2"/>
      <c r="J175" s="2"/>
      <c r="K175" s="2"/>
      <c r="L175" s="2"/>
      <c r="M175" s="2"/>
      <c r="N175" s="2"/>
      <c r="O175" s="2"/>
      <c r="P175" s="2"/>
      <c r="Q175" s="2"/>
      <c r="R175" s="2"/>
      <c r="S175" s="2"/>
    </row>
    <row r="176" spans="9:19" ht="14.25" customHeight="1">
      <c r="I176" s="2"/>
      <c r="J176" s="2"/>
      <c r="K176" s="2"/>
      <c r="L176" s="2"/>
      <c r="M176" s="2"/>
      <c r="N176" s="2"/>
      <c r="O176" s="2"/>
      <c r="P176" s="2"/>
      <c r="Q176" s="2"/>
      <c r="R176" s="2"/>
      <c r="S176" s="2"/>
    </row>
    <row r="177" spans="9:19" ht="14.25" customHeight="1">
      <c r="I177" s="2"/>
      <c r="J177" s="2"/>
      <c r="K177" s="2"/>
      <c r="L177" s="2"/>
      <c r="M177" s="2"/>
      <c r="N177" s="2"/>
      <c r="O177" s="2"/>
      <c r="P177" s="2"/>
      <c r="Q177" s="2"/>
      <c r="R177" s="2"/>
      <c r="S177" s="2"/>
    </row>
    <row r="178" spans="9:19" ht="14.25" customHeight="1">
      <c r="I178" s="2"/>
      <c r="J178" s="2"/>
      <c r="K178" s="2"/>
      <c r="L178" s="2"/>
      <c r="M178" s="2"/>
      <c r="N178" s="2"/>
      <c r="O178" s="2"/>
      <c r="P178" s="2"/>
      <c r="Q178" s="2"/>
      <c r="R178" s="2"/>
      <c r="S178" s="2"/>
    </row>
    <row r="179" spans="9:19" ht="14.25" customHeight="1">
      <c r="I179" s="2"/>
      <c r="J179" s="2"/>
      <c r="K179" s="2"/>
      <c r="L179" s="2"/>
      <c r="M179" s="2"/>
      <c r="N179" s="2"/>
      <c r="O179" s="2"/>
      <c r="P179" s="2"/>
      <c r="Q179" s="2"/>
      <c r="R179" s="2"/>
      <c r="S179" s="2"/>
    </row>
    <row r="180" spans="9:19" ht="14.25" customHeight="1">
      <c r="I180" s="2"/>
      <c r="J180" s="2"/>
      <c r="K180" s="2"/>
      <c r="L180" s="2"/>
      <c r="M180" s="2"/>
      <c r="N180" s="2"/>
      <c r="O180" s="2"/>
      <c r="P180" s="2"/>
      <c r="Q180" s="2"/>
      <c r="R180" s="2"/>
      <c r="S180" s="2"/>
    </row>
    <row r="181" spans="9:19" ht="14.25" customHeight="1">
      <c r="I181" s="2"/>
      <c r="J181" s="2"/>
      <c r="K181" s="2"/>
      <c r="L181" s="2"/>
      <c r="M181" s="2"/>
      <c r="N181" s="2"/>
      <c r="O181" s="2"/>
      <c r="P181" s="2"/>
      <c r="Q181" s="2"/>
      <c r="R181" s="2"/>
      <c r="S181" s="2"/>
    </row>
    <row r="182" spans="9:19" ht="14.25" customHeight="1">
      <c r="I182" s="2"/>
      <c r="J182" s="2"/>
      <c r="K182" s="2"/>
      <c r="L182" s="2"/>
      <c r="M182" s="2"/>
      <c r="N182" s="2"/>
      <c r="O182" s="2"/>
      <c r="P182" s="2"/>
      <c r="Q182" s="2"/>
      <c r="R182" s="2"/>
      <c r="S182" s="2"/>
    </row>
    <row r="183" spans="9:19" ht="14.25" customHeight="1">
      <c r="I183" s="2"/>
      <c r="J183" s="2"/>
      <c r="K183" s="2"/>
      <c r="L183" s="2"/>
      <c r="M183" s="2"/>
      <c r="N183" s="2"/>
      <c r="O183" s="2"/>
      <c r="P183" s="2"/>
      <c r="Q183" s="2"/>
      <c r="R183" s="2"/>
      <c r="S183" s="2"/>
    </row>
    <row r="184" spans="9:19" ht="14.25" customHeight="1">
      <c r="I184" s="2"/>
      <c r="J184" s="2"/>
      <c r="K184" s="2"/>
      <c r="L184" s="2"/>
      <c r="M184" s="2"/>
      <c r="N184" s="2"/>
      <c r="O184" s="2"/>
      <c r="P184" s="2"/>
      <c r="Q184" s="2"/>
      <c r="R184" s="2"/>
      <c r="S184" s="2"/>
    </row>
    <row r="185" spans="9:19" ht="14.25" customHeight="1">
      <c r="I185" s="2"/>
      <c r="J185" s="2"/>
      <c r="K185" s="2"/>
      <c r="L185" s="2"/>
      <c r="M185" s="2"/>
      <c r="N185" s="2"/>
      <c r="O185" s="2"/>
      <c r="P185" s="2"/>
      <c r="Q185" s="2"/>
      <c r="R185" s="2"/>
      <c r="S185" s="2"/>
    </row>
    <row r="186" spans="9:19" ht="14.25" customHeight="1">
      <c r="I186" s="2"/>
      <c r="J186" s="2"/>
      <c r="K186" s="2"/>
      <c r="L186" s="2"/>
      <c r="M186" s="2"/>
      <c r="N186" s="2"/>
      <c r="O186" s="2"/>
      <c r="P186" s="2"/>
      <c r="Q186" s="2"/>
      <c r="R186" s="2"/>
      <c r="S186" s="2"/>
    </row>
    <row r="187" spans="9:19" ht="14.25" customHeight="1">
      <c r="I187" s="2"/>
      <c r="J187" s="2"/>
      <c r="K187" s="2"/>
      <c r="L187" s="2"/>
      <c r="M187" s="2"/>
      <c r="N187" s="2"/>
      <c r="O187" s="2"/>
      <c r="P187" s="2"/>
      <c r="Q187" s="2"/>
      <c r="R187" s="2"/>
      <c r="S187" s="2"/>
    </row>
    <row r="188" spans="9:19" ht="14.25" customHeight="1">
      <c r="I188" s="2"/>
      <c r="J188" s="2"/>
      <c r="K188" s="2"/>
      <c r="L188" s="2"/>
      <c r="M188" s="2"/>
      <c r="N188" s="2"/>
      <c r="O188" s="2"/>
      <c r="P188" s="2"/>
      <c r="Q188" s="2"/>
      <c r="R188" s="2"/>
      <c r="S188" s="2"/>
    </row>
    <row r="189" spans="9:19" ht="14.25" customHeight="1">
      <c r="I189" s="2"/>
      <c r="J189" s="2"/>
      <c r="K189" s="2"/>
      <c r="L189" s="2"/>
      <c r="M189" s="2"/>
      <c r="N189" s="2"/>
      <c r="O189" s="2"/>
      <c r="P189" s="2"/>
      <c r="Q189" s="2"/>
      <c r="R189" s="2"/>
      <c r="S189" s="2"/>
    </row>
    <row r="190" spans="9:19" ht="14.25" customHeight="1">
      <c r="I190" s="2"/>
      <c r="J190" s="2"/>
      <c r="K190" s="2"/>
      <c r="L190" s="2"/>
      <c r="M190" s="2"/>
      <c r="N190" s="2"/>
      <c r="O190" s="2"/>
      <c r="P190" s="2"/>
      <c r="Q190" s="2"/>
      <c r="R190" s="2"/>
      <c r="S190" s="2"/>
    </row>
    <row r="191" spans="9:19" ht="14.25" customHeight="1">
      <c r="I191" s="2"/>
      <c r="J191" s="2"/>
      <c r="K191" s="2"/>
      <c r="L191" s="2"/>
      <c r="M191" s="2"/>
      <c r="N191" s="2"/>
      <c r="O191" s="2"/>
      <c r="P191" s="2"/>
      <c r="Q191" s="2"/>
      <c r="R191" s="2"/>
      <c r="S191" s="2"/>
    </row>
    <row r="192" spans="9:19" ht="14.25" customHeight="1">
      <c r="I192" s="2"/>
      <c r="J192" s="2"/>
      <c r="K192" s="2"/>
      <c r="L192" s="2"/>
      <c r="M192" s="2"/>
      <c r="N192" s="2"/>
      <c r="O192" s="2"/>
      <c r="P192" s="2"/>
      <c r="Q192" s="2"/>
      <c r="R192" s="2"/>
      <c r="S192" s="2"/>
    </row>
    <row r="193" spans="9:19" ht="14.25" customHeight="1">
      <c r="I193" s="2"/>
      <c r="J193" s="2"/>
      <c r="K193" s="2"/>
      <c r="L193" s="2"/>
      <c r="M193" s="2"/>
      <c r="N193" s="2"/>
      <c r="O193" s="2"/>
      <c r="P193" s="2"/>
      <c r="Q193" s="2"/>
      <c r="R193" s="2"/>
      <c r="S193" s="2"/>
    </row>
    <row r="194" spans="9:19" ht="14.25" customHeight="1">
      <c r="I194" s="2"/>
      <c r="J194" s="2"/>
      <c r="K194" s="2"/>
      <c r="L194" s="2"/>
      <c r="M194" s="2"/>
      <c r="N194" s="2"/>
      <c r="O194" s="2"/>
      <c r="P194" s="2"/>
      <c r="Q194" s="2"/>
      <c r="R194" s="2"/>
      <c r="S194" s="2"/>
    </row>
    <row r="195" spans="9:19" ht="14.25" customHeight="1">
      <c r="I195" s="2"/>
      <c r="J195" s="2"/>
      <c r="K195" s="2"/>
      <c r="L195" s="2"/>
      <c r="M195" s="2"/>
      <c r="N195" s="2"/>
      <c r="O195" s="2"/>
      <c r="P195" s="2"/>
      <c r="Q195" s="2"/>
      <c r="R195" s="2"/>
      <c r="S195" s="2"/>
    </row>
    <row r="196" spans="9:19" ht="14.25" customHeight="1">
      <c r="I196" s="2"/>
      <c r="J196" s="2"/>
      <c r="K196" s="2"/>
      <c r="L196" s="2"/>
      <c r="M196" s="2"/>
      <c r="N196" s="2"/>
      <c r="O196" s="2"/>
      <c r="P196" s="2"/>
      <c r="Q196" s="2"/>
      <c r="R196" s="2"/>
      <c r="S196" s="2"/>
    </row>
    <row r="197" spans="9:19" ht="14.25" customHeight="1">
      <c r="I197" s="2"/>
      <c r="J197" s="2"/>
      <c r="K197" s="2"/>
      <c r="L197" s="2"/>
      <c r="M197" s="2"/>
      <c r="N197" s="2"/>
      <c r="O197" s="2"/>
      <c r="P197" s="2"/>
      <c r="Q197" s="2"/>
      <c r="R197" s="2"/>
      <c r="S197" s="2"/>
    </row>
    <row r="198" spans="9:19" ht="14.25" customHeight="1">
      <c r="I198" s="2"/>
      <c r="J198" s="2"/>
      <c r="K198" s="2"/>
      <c r="L198" s="2"/>
      <c r="M198" s="2"/>
      <c r="N198" s="2"/>
      <c r="O198" s="2"/>
      <c r="P198" s="2"/>
      <c r="Q198" s="2"/>
      <c r="R198" s="2"/>
      <c r="S198" s="2"/>
    </row>
    <row r="199" spans="9:19" ht="14.25" customHeight="1">
      <c r="I199" s="2"/>
      <c r="J199" s="2"/>
      <c r="K199" s="2"/>
      <c r="L199" s="2"/>
      <c r="M199" s="2"/>
      <c r="N199" s="2"/>
      <c r="O199" s="2"/>
      <c r="P199" s="2"/>
      <c r="Q199" s="2"/>
      <c r="R199" s="2"/>
      <c r="S199" s="2"/>
    </row>
    <row r="200" spans="9:19" ht="14.25" customHeight="1">
      <c r="I200" s="2"/>
      <c r="J200" s="2"/>
      <c r="K200" s="2"/>
      <c r="L200" s="2"/>
      <c r="M200" s="2"/>
      <c r="N200" s="2"/>
      <c r="O200" s="2"/>
      <c r="P200" s="2"/>
      <c r="Q200" s="2"/>
      <c r="R200" s="2"/>
      <c r="S200" s="2"/>
    </row>
    <row r="201" spans="9:19" ht="14.25" customHeight="1">
      <c r="I201" s="2"/>
      <c r="J201" s="2"/>
      <c r="K201" s="2"/>
      <c r="L201" s="2"/>
      <c r="M201" s="2"/>
      <c r="N201" s="2"/>
      <c r="O201" s="2"/>
      <c r="P201" s="2"/>
      <c r="Q201" s="2"/>
      <c r="R201" s="2"/>
      <c r="S201" s="2"/>
    </row>
    <row r="202" spans="9:19" ht="14.25" customHeight="1">
      <c r="I202" s="2"/>
      <c r="J202" s="2"/>
      <c r="K202" s="2"/>
      <c r="L202" s="2"/>
      <c r="M202" s="2"/>
      <c r="N202" s="2"/>
      <c r="O202" s="2"/>
      <c r="P202" s="2"/>
      <c r="Q202" s="2"/>
      <c r="R202" s="2"/>
      <c r="S202" s="2"/>
    </row>
    <row r="203" spans="9:19" ht="14.25" customHeight="1">
      <c r="I203" s="2"/>
      <c r="J203" s="2"/>
      <c r="K203" s="2"/>
      <c r="L203" s="2"/>
      <c r="M203" s="2"/>
      <c r="N203" s="2"/>
      <c r="O203" s="2"/>
      <c r="P203" s="2"/>
      <c r="Q203" s="2"/>
      <c r="R203" s="2"/>
      <c r="S203" s="2"/>
    </row>
    <row r="204" spans="9:19" ht="14.25" customHeight="1">
      <c r="I204" s="2"/>
      <c r="J204" s="2"/>
      <c r="K204" s="2"/>
      <c r="L204" s="2"/>
      <c r="M204" s="2"/>
      <c r="N204" s="2"/>
      <c r="O204" s="2"/>
      <c r="P204" s="2"/>
      <c r="Q204" s="2"/>
      <c r="R204" s="2"/>
      <c r="S204" s="2"/>
    </row>
    <row r="205" spans="9:19" ht="14.25" customHeight="1">
      <c r="I205" s="2"/>
      <c r="J205" s="2"/>
      <c r="K205" s="2"/>
      <c r="L205" s="2"/>
      <c r="M205" s="2"/>
      <c r="N205" s="2"/>
      <c r="O205" s="2"/>
      <c r="P205" s="2"/>
      <c r="Q205" s="2"/>
      <c r="R205" s="2"/>
      <c r="S205" s="2"/>
    </row>
    <row r="206" spans="9:19" ht="14.25" customHeight="1">
      <c r="I206" s="2"/>
      <c r="J206" s="2"/>
      <c r="K206" s="2"/>
      <c r="L206" s="2"/>
      <c r="M206" s="2"/>
      <c r="N206" s="2"/>
      <c r="O206" s="2"/>
      <c r="P206" s="2"/>
      <c r="Q206" s="2"/>
      <c r="R206" s="2"/>
      <c r="S206" s="2"/>
    </row>
    <row r="207" spans="9:19" ht="14.25" customHeight="1">
      <c r="I207" s="2"/>
      <c r="J207" s="2"/>
      <c r="K207" s="2"/>
      <c r="L207" s="2"/>
      <c r="M207" s="2"/>
      <c r="N207" s="2"/>
      <c r="O207" s="2"/>
      <c r="P207" s="2"/>
      <c r="Q207" s="2"/>
      <c r="R207" s="2"/>
      <c r="S207" s="2"/>
    </row>
    <row r="208" spans="9:19" ht="14.25" customHeight="1">
      <c r="I208" s="2"/>
      <c r="J208" s="2"/>
      <c r="K208" s="2"/>
      <c r="L208" s="2"/>
      <c r="M208" s="2"/>
      <c r="N208" s="2"/>
      <c r="O208" s="2"/>
      <c r="P208" s="2"/>
      <c r="Q208" s="2"/>
      <c r="R208" s="2"/>
      <c r="S208" s="2"/>
    </row>
    <row r="209" spans="9:19" ht="14.25" customHeight="1">
      <c r="I209" s="2"/>
      <c r="J209" s="2"/>
      <c r="K209" s="2"/>
      <c r="L209" s="2"/>
      <c r="M209" s="2"/>
      <c r="N209" s="2"/>
      <c r="O209" s="2"/>
      <c r="P209" s="2"/>
      <c r="Q209" s="2"/>
      <c r="R209" s="2"/>
      <c r="S209" s="2"/>
    </row>
    <row r="210" spans="9:19" ht="14.25" customHeight="1">
      <c r="I210" s="2"/>
      <c r="J210" s="2"/>
      <c r="K210" s="2"/>
      <c r="L210" s="2"/>
      <c r="M210" s="2"/>
      <c r="N210" s="2"/>
      <c r="O210" s="2"/>
      <c r="P210" s="2"/>
      <c r="Q210" s="2"/>
      <c r="R210" s="2"/>
      <c r="S210" s="2"/>
    </row>
    <row r="211" spans="9:19" ht="14.25" customHeight="1">
      <c r="I211" s="2"/>
      <c r="J211" s="2"/>
      <c r="K211" s="2"/>
      <c r="L211" s="2"/>
      <c r="M211" s="2"/>
      <c r="N211" s="2"/>
      <c r="O211" s="2"/>
      <c r="P211" s="2"/>
      <c r="Q211" s="2"/>
      <c r="R211" s="2"/>
      <c r="S211" s="2"/>
    </row>
    <row r="212" spans="9:19" ht="14.25" customHeight="1">
      <c r="I212" s="2"/>
      <c r="J212" s="2"/>
      <c r="K212" s="2"/>
      <c r="L212" s="2"/>
      <c r="M212" s="2"/>
      <c r="N212" s="2"/>
      <c r="O212" s="2"/>
      <c r="P212" s="2"/>
      <c r="Q212" s="2"/>
      <c r="R212" s="2"/>
      <c r="S212" s="2"/>
    </row>
    <row r="213" spans="9:19" ht="14.25" customHeight="1">
      <c r="I213" s="2"/>
      <c r="J213" s="2"/>
      <c r="K213" s="2"/>
      <c r="L213" s="2"/>
      <c r="M213" s="2"/>
      <c r="N213" s="2"/>
      <c r="O213" s="2"/>
      <c r="P213" s="2"/>
      <c r="Q213" s="2"/>
      <c r="R213" s="2"/>
      <c r="S213" s="2"/>
    </row>
    <row r="214" spans="9:19" ht="14.25" customHeight="1">
      <c r="I214" s="2"/>
      <c r="J214" s="2"/>
      <c r="K214" s="2"/>
      <c r="L214" s="2"/>
      <c r="M214" s="2"/>
      <c r="N214" s="2"/>
      <c r="O214" s="2"/>
      <c r="P214" s="2"/>
      <c r="Q214" s="2"/>
      <c r="R214" s="2"/>
      <c r="S214" s="2"/>
    </row>
    <row r="215" spans="9:19" ht="14.25" customHeight="1">
      <c r="I215" s="2"/>
      <c r="J215" s="2"/>
      <c r="K215" s="2"/>
      <c r="L215" s="2"/>
      <c r="M215" s="2"/>
      <c r="N215" s="2"/>
      <c r="O215" s="2"/>
      <c r="P215" s="2"/>
      <c r="Q215" s="2"/>
      <c r="R215" s="2"/>
      <c r="S215" s="2"/>
    </row>
    <row r="216" spans="9:19" ht="14.25" customHeight="1">
      <c r="I216" s="2"/>
      <c r="J216" s="2"/>
      <c r="K216" s="2"/>
      <c r="L216" s="2"/>
      <c r="M216" s="2"/>
      <c r="N216" s="2"/>
      <c r="O216" s="2"/>
      <c r="P216" s="2"/>
      <c r="Q216" s="2"/>
      <c r="R216" s="2"/>
      <c r="S216" s="2"/>
    </row>
    <row r="217" spans="9:19" ht="14.25" customHeight="1">
      <c r="I217" s="2"/>
      <c r="J217" s="2"/>
      <c r="K217" s="2"/>
      <c r="L217" s="2"/>
      <c r="M217" s="2"/>
      <c r="N217" s="2"/>
      <c r="O217" s="2"/>
      <c r="P217" s="2"/>
      <c r="Q217" s="2"/>
      <c r="R217" s="2"/>
      <c r="S217" s="2"/>
    </row>
    <row r="218" spans="9:19" ht="14.25" customHeight="1">
      <c r="I218" s="2"/>
      <c r="J218" s="2"/>
      <c r="K218" s="2"/>
      <c r="L218" s="2"/>
      <c r="M218" s="2"/>
      <c r="N218" s="2"/>
      <c r="O218" s="2"/>
      <c r="P218" s="2"/>
      <c r="Q218" s="2"/>
      <c r="R218" s="2"/>
      <c r="S218" s="2"/>
    </row>
    <row r="219" spans="9:19" ht="14.25" customHeight="1">
      <c r="I219" s="2"/>
      <c r="J219" s="2"/>
      <c r="K219" s="2"/>
      <c r="L219" s="2"/>
      <c r="M219" s="2"/>
      <c r="N219" s="2"/>
      <c r="O219" s="2"/>
      <c r="P219" s="2"/>
      <c r="Q219" s="2"/>
      <c r="R219" s="2"/>
      <c r="S219" s="2"/>
    </row>
    <row r="220" spans="9:19" ht="14.25" customHeight="1">
      <c r="I220" s="2"/>
      <c r="J220" s="2"/>
      <c r="K220" s="2"/>
      <c r="L220" s="2"/>
      <c r="M220" s="2"/>
      <c r="N220" s="2"/>
      <c r="O220" s="2"/>
      <c r="P220" s="2"/>
      <c r="Q220" s="2"/>
      <c r="R220" s="2"/>
      <c r="S220" s="2"/>
    </row>
    <row r="221" spans="9:19" ht="14.25" customHeight="1">
      <c r="I221" s="2"/>
      <c r="J221" s="2"/>
      <c r="K221" s="2"/>
      <c r="L221" s="2"/>
      <c r="M221" s="2"/>
      <c r="N221" s="2"/>
      <c r="O221" s="2"/>
      <c r="P221" s="2"/>
      <c r="Q221" s="2"/>
      <c r="R221" s="2"/>
      <c r="S221" s="2"/>
    </row>
    <row r="222" spans="9:19" ht="14.25" customHeight="1">
      <c r="I222" s="2"/>
      <c r="J222" s="2"/>
      <c r="K222" s="2"/>
      <c r="L222" s="2"/>
      <c r="M222" s="2"/>
      <c r="N222" s="2"/>
      <c r="O222" s="2"/>
      <c r="P222" s="2"/>
      <c r="Q222" s="2"/>
      <c r="R222" s="2"/>
      <c r="S222" s="2"/>
    </row>
    <row r="223" spans="9:19" ht="14.25" customHeight="1">
      <c r="I223" s="2"/>
      <c r="J223" s="2"/>
      <c r="K223" s="2"/>
      <c r="L223" s="2"/>
      <c r="M223" s="2"/>
      <c r="N223" s="2"/>
      <c r="O223" s="2"/>
      <c r="P223" s="2"/>
      <c r="Q223" s="2"/>
      <c r="R223" s="2"/>
      <c r="S223" s="2"/>
    </row>
    <row r="224" spans="9:19" ht="14.25" customHeight="1">
      <c r="I224" s="2"/>
      <c r="J224" s="2"/>
      <c r="K224" s="2"/>
      <c r="L224" s="2"/>
      <c r="M224" s="2"/>
      <c r="N224" s="2"/>
      <c r="O224" s="2"/>
      <c r="P224" s="2"/>
      <c r="Q224" s="2"/>
      <c r="R224" s="2"/>
      <c r="S224" s="2"/>
    </row>
    <row r="225" spans="9:19" ht="14.25" customHeight="1">
      <c r="I225" s="2"/>
      <c r="J225" s="2"/>
      <c r="K225" s="2"/>
      <c r="L225" s="2"/>
      <c r="M225" s="2"/>
      <c r="N225" s="2"/>
      <c r="O225" s="2"/>
      <c r="P225" s="2"/>
      <c r="Q225" s="2"/>
      <c r="R225" s="2"/>
      <c r="S225" s="2"/>
    </row>
    <row r="226" spans="9:19" ht="14.25" customHeight="1">
      <c r="I226" s="2"/>
      <c r="J226" s="2"/>
      <c r="K226" s="2"/>
      <c r="L226" s="2"/>
      <c r="M226" s="2"/>
      <c r="N226" s="2"/>
      <c r="O226" s="2"/>
      <c r="P226" s="2"/>
      <c r="Q226" s="2"/>
      <c r="R226" s="2"/>
      <c r="S226" s="2"/>
    </row>
    <row r="227" spans="9:19" ht="14.25" customHeight="1">
      <c r="I227" s="2"/>
      <c r="J227" s="2"/>
      <c r="K227" s="2"/>
      <c r="L227" s="2"/>
      <c r="M227" s="2"/>
      <c r="N227" s="2"/>
      <c r="O227" s="2"/>
      <c r="P227" s="2"/>
      <c r="Q227" s="2"/>
      <c r="R227" s="2"/>
      <c r="S227" s="2"/>
    </row>
    <row r="228" spans="9:19" ht="14.25" customHeight="1">
      <c r="I228" s="2"/>
      <c r="J228" s="2"/>
      <c r="K228" s="2"/>
      <c r="L228" s="2"/>
      <c r="M228" s="2"/>
      <c r="N228" s="2"/>
      <c r="O228" s="2"/>
      <c r="P228" s="2"/>
      <c r="Q228" s="2"/>
      <c r="R228" s="2"/>
      <c r="S228" s="2"/>
    </row>
    <row r="229" spans="9:19" ht="14.25" customHeight="1">
      <c r="I229" s="2"/>
      <c r="J229" s="2"/>
      <c r="K229" s="2"/>
      <c r="L229" s="2"/>
      <c r="M229" s="2"/>
      <c r="N229" s="2"/>
      <c r="O229" s="2"/>
      <c r="P229" s="2"/>
      <c r="Q229" s="2"/>
      <c r="R229" s="2"/>
      <c r="S229" s="2"/>
    </row>
    <row r="230" spans="9:19" ht="14.25" customHeight="1">
      <c r="I230" s="2"/>
      <c r="J230" s="2"/>
      <c r="K230" s="2"/>
      <c r="L230" s="2"/>
      <c r="M230" s="2"/>
      <c r="N230" s="2"/>
      <c r="O230" s="2"/>
      <c r="P230" s="2"/>
      <c r="Q230" s="2"/>
      <c r="R230" s="2"/>
      <c r="S230" s="2"/>
    </row>
    <row r="231" spans="9:19" ht="14.25" customHeight="1">
      <c r="I231" s="2"/>
      <c r="J231" s="2"/>
      <c r="K231" s="2"/>
      <c r="L231" s="2"/>
      <c r="M231" s="2"/>
      <c r="N231" s="2"/>
      <c r="O231" s="2"/>
      <c r="P231" s="2"/>
      <c r="Q231" s="2"/>
      <c r="R231" s="2"/>
      <c r="S231" s="2"/>
    </row>
    <row r="232" spans="9:19" ht="14.25" customHeight="1">
      <c r="I232" s="2"/>
      <c r="J232" s="2"/>
      <c r="K232" s="2"/>
      <c r="L232" s="2"/>
      <c r="M232" s="2"/>
      <c r="N232" s="2"/>
      <c r="O232" s="2"/>
      <c r="P232" s="2"/>
      <c r="Q232" s="2"/>
      <c r="R232" s="2"/>
      <c r="S232" s="2"/>
    </row>
    <row r="233" spans="9:19" ht="14.25" customHeight="1">
      <c r="I233" s="2"/>
      <c r="J233" s="2"/>
      <c r="K233" s="2"/>
      <c r="L233" s="2"/>
      <c r="M233" s="2"/>
      <c r="N233" s="2"/>
      <c r="O233" s="2"/>
      <c r="P233" s="2"/>
      <c r="Q233" s="2"/>
      <c r="R233" s="2"/>
      <c r="S233" s="2"/>
    </row>
    <row r="234" spans="9:19" ht="14.25" customHeight="1">
      <c r="I234" s="2"/>
      <c r="J234" s="2"/>
      <c r="K234" s="2"/>
      <c r="L234" s="2"/>
      <c r="M234" s="2"/>
      <c r="N234" s="2"/>
      <c r="O234" s="2"/>
      <c r="P234" s="2"/>
      <c r="Q234" s="2"/>
      <c r="R234" s="2"/>
      <c r="S234" s="2"/>
    </row>
    <row r="235" spans="9:19" ht="14.25" customHeight="1">
      <c r="I235" s="2"/>
      <c r="J235" s="2"/>
      <c r="K235" s="2"/>
      <c r="L235" s="2"/>
      <c r="M235" s="2"/>
      <c r="N235" s="2"/>
      <c r="O235" s="2"/>
      <c r="P235" s="2"/>
      <c r="Q235" s="2"/>
      <c r="R235" s="2"/>
      <c r="S235" s="2"/>
    </row>
    <row r="236" spans="9:19" ht="14.25" customHeight="1">
      <c r="I236" s="2"/>
      <c r="J236" s="2"/>
      <c r="K236" s="2"/>
      <c r="L236" s="2"/>
      <c r="M236" s="2"/>
      <c r="N236" s="2"/>
      <c r="O236" s="2"/>
      <c r="P236" s="2"/>
      <c r="Q236" s="2"/>
      <c r="R236" s="2"/>
      <c r="S236" s="2"/>
    </row>
    <row r="237" spans="9:19" ht="14.25" customHeight="1">
      <c r="I237" s="2"/>
      <c r="J237" s="2"/>
      <c r="K237" s="2"/>
      <c r="L237" s="2"/>
      <c r="M237" s="2"/>
      <c r="N237" s="2"/>
      <c r="O237" s="2"/>
      <c r="P237" s="2"/>
      <c r="Q237" s="2"/>
      <c r="R237" s="2"/>
      <c r="S237" s="2"/>
    </row>
    <row r="238" spans="9:19" ht="14.25" customHeight="1">
      <c r="I238" s="2"/>
      <c r="J238" s="2"/>
      <c r="K238" s="2"/>
      <c r="L238" s="2"/>
      <c r="M238" s="2"/>
      <c r="N238" s="2"/>
      <c r="O238" s="2"/>
      <c r="P238" s="2"/>
      <c r="Q238" s="2"/>
      <c r="R238" s="2"/>
      <c r="S238" s="2"/>
    </row>
    <row r="239" spans="9:19" ht="14.25" customHeight="1">
      <c r="I239" s="2"/>
      <c r="J239" s="2"/>
      <c r="K239" s="2"/>
      <c r="L239" s="2"/>
      <c r="M239" s="2"/>
      <c r="N239" s="2"/>
      <c r="O239" s="2"/>
      <c r="P239" s="2"/>
      <c r="Q239" s="2"/>
      <c r="R239" s="2"/>
      <c r="S239" s="2"/>
    </row>
    <row r="240" spans="9:19" ht="14.25" customHeight="1">
      <c r="I240" s="2"/>
      <c r="J240" s="2"/>
      <c r="K240" s="2"/>
      <c r="L240" s="2"/>
      <c r="M240" s="2"/>
      <c r="N240" s="2"/>
      <c r="O240" s="2"/>
      <c r="P240" s="2"/>
      <c r="Q240" s="2"/>
      <c r="R240" s="2"/>
      <c r="S240" s="2"/>
    </row>
    <row r="241" spans="9:19" ht="14.25" customHeight="1">
      <c r="I241" s="2"/>
      <c r="J241" s="2"/>
      <c r="K241" s="2"/>
      <c r="L241" s="2"/>
      <c r="M241" s="2"/>
      <c r="N241" s="2"/>
      <c r="O241" s="2"/>
      <c r="P241" s="2"/>
      <c r="Q241" s="2"/>
      <c r="R241" s="2"/>
      <c r="S241" s="2"/>
    </row>
    <row r="242" spans="9:19" ht="14.25" customHeight="1">
      <c r="I242" s="2"/>
      <c r="J242" s="2"/>
      <c r="K242" s="2"/>
      <c r="L242" s="2"/>
      <c r="M242" s="2"/>
      <c r="N242" s="2"/>
      <c r="O242" s="2"/>
      <c r="P242" s="2"/>
      <c r="Q242" s="2"/>
      <c r="R242" s="2"/>
      <c r="S242" s="2"/>
    </row>
    <row r="243" spans="9:19" ht="14.25" customHeight="1">
      <c r="I243" s="2"/>
      <c r="J243" s="2"/>
      <c r="K243" s="2"/>
      <c r="L243" s="2"/>
      <c r="M243" s="2"/>
      <c r="N243" s="2"/>
      <c r="O243" s="2"/>
      <c r="P243" s="2"/>
      <c r="Q243" s="2"/>
      <c r="R243" s="2"/>
      <c r="S243" s="2"/>
    </row>
    <row r="244" spans="9:19" ht="14.25" customHeight="1">
      <c r="I244" s="2"/>
      <c r="J244" s="2"/>
      <c r="K244" s="2"/>
      <c r="L244" s="2"/>
      <c r="M244" s="2"/>
      <c r="N244" s="2"/>
      <c r="O244" s="2"/>
      <c r="P244" s="2"/>
      <c r="Q244" s="2"/>
      <c r="R244" s="2"/>
      <c r="S244" s="2"/>
    </row>
    <row r="245" spans="9:19" ht="14.25" customHeight="1">
      <c r="I245" s="2"/>
      <c r="J245" s="2"/>
      <c r="K245" s="2"/>
      <c r="L245" s="2"/>
      <c r="M245" s="2"/>
      <c r="N245" s="2"/>
      <c r="O245" s="2"/>
      <c r="P245" s="2"/>
      <c r="Q245" s="2"/>
      <c r="R245" s="2"/>
      <c r="S245" s="2"/>
    </row>
    <row r="246" spans="9:19" ht="14.25" customHeight="1">
      <c r="I246" s="2"/>
      <c r="J246" s="2"/>
      <c r="K246" s="2"/>
      <c r="L246" s="2"/>
      <c r="M246" s="2"/>
      <c r="N246" s="2"/>
      <c r="O246" s="2"/>
      <c r="P246" s="2"/>
      <c r="Q246" s="2"/>
      <c r="R246" s="2"/>
      <c r="S246" s="2"/>
    </row>
    <row r="247" spans="9:19" ht="14.25" customHeight="1">
      <c r="I247" s="2"/>
      <c r="J247" s="2"/>
      <c r="K247" s="2"/>
      <c r="L247" s="2"/>
      <c r="M247" s="2"/>
      <c r="N247" s="2"/>
      <c r="O247" s="2"/>
      <c r="P247" s="2"/>
      <c r="Q247" s="2"/>
      <c r="R247" s="2"/>
      <c r="S247" s="2"/>
    </row>
    <row r="248" spans="9:19" ht="14.25" customHeight="1">
      <c r="I248" s="2"/>
      <c r="J248" s="2"/>
      <c r="K248" s="2"/>
      <c r="L248" s="2"/>
      <c r="M248" s="2"/>
      <c r="N248" s="2"/>
      <c r="O248" s="2"/>
      <c r="P248" s="2"/>
      <c r="Q248" s="2"/>
      <c r="R248" s="2"/>
      <c r="S248" s="2"/>
    </row>
    <row r="249" spans="9:19" ht="14.25" customHeight="1">
      <c r="I249" s="2"/>
      <c r="J249" s="2"/>
      <c r="K249" s="2"/>
      <c r="L249" s="2"/>
      <c r="M249" s="2"/>
      <c r="N249" s="2"/>
      <c r="O249" s="2"/>
      <c r="P249" s="2"/>
      <c r="Q249" s="2"/>
      <c r="R249" s="2"/>
      <c r="S249" s="2"/>
    </row>
    <row r="250" spans="9:19" ht="14.25" customHeight="1">
      <c r="I250" s="2"/>
      <c r="J250" s="2"/>
      <c r="K250" s="2"/>
      <c r="L250" s="2"/>
      <c r="M250" s="2"/>
      <c r="N250" s="2"/>
      <c r="O250" s="2"/>
      <c r="P250" s="2"/>
      <c r="Q250" s="2"/>
      <c r="R250" s="2"/>
      <c r="S250" s="2"/>
    </row>
    <row r="251" spans="9:19" ht="14.25" customHeight="1">
      <c r="I251" s="2"/>
      <c r="J251" s="2"/>
      <c r="K251" s="2"/>
      <c r="L251" s="2"/>
      <c r="M251" s="2"/>
      <c r="N251" s="2"/>
      <c r="O251" s="2"/>
      <c r="P251" s="2"/>
      <c r="Q251" s="2"/>
      <c r="R251" s="2"/>
      <c r="S251" s="2"/>
    </row>
    <row r="252" spans="9:19" ht="14.25" customHeight="1">
      <c r="I252" s="2"/>
      <c r="J252" s="2"/>
      <c r="K252" s="2"/>
      <c r="L252" s="2"/>
      <c r="M252" s="2"/>
      <c r="N252" s="2"/>
      <c r="O252" s="2"/>
      <c r="P252" s="2"/>
      <c r="Q252" s="2"/>
      <c r="R252" s="2"/>
      <c r="S252" s="2"/>
    </row>
    <row r="253" spans="9:19" ht="14.25" customHeight="1">
      <c r="I253" s="2"/>
      <c r="J253" s="2"/>
      <c r="K253" s="2"/>
      <c r="L253" s="2"/>
      <c r="M253" s="2"/>
      <c r="N253" s="2"/>
      <c r="O253" s="2"/>
      <c r="P253" s="2"/>
      <c r="Q253" s="2"/>
      <c r="R253" s="2"/>
      <c r="S253" s="2"/>
    </row>
    <row r="254" spans="9:19" ht="14.25" customHeight="1">
      <c r="I254" s="2"/>
      <c r="J254" s="2"/>
      <c r="K254" s="2"/>
      <c r="L254" s="2"/>
      <c r="M254" s="2"/>
      <c r="N254" s="2"/>
      <c r="O254" s="2"/>
      <c r="P254" s="2"/>
      <c r="Q254" s="2"/>
      <c r="R254" s="2"/>
      <c r="S254" s="2"/>
    </row>
    <row r="255" spans="9:19" ht="14.25" customHeight="1">
      <c r="I255" s="2"/>
      <c r="J255" s="2"/>
      <c r="K255" s="2"/>
      <c r="L255" s="2"/>
      <c r="M255" s="2"/>
      <c r="N255" s="2"/>
      <c r="O255" s="2"/>
      <c r="P255" s="2"/>
      <c r="Q255" s="2"/>
      <c r="R255" s="2"/>
      <c r="S255" s="2"/>
    </row>
    <row r="256" spans="9:19" ht="14.25" customHeight="1">
      <c r="I256" s="2"/>
      <c r="J256" s="2"/>
      <c r="K256" s="2"/>
      <c r="L256" s="2"/>
      <c r="M256" s="2"/>
      <c r="N256" s="2"/>
      <c r="O256" s="2"/>
      <c r="P256" s="2"/>
      <c r="Q256" s="2"/>
      <c r="R256" s="2"/>
      <c r="S256" s="2"/>
    </row>
    <row r="257" spans="9:19" ht="14.25" customHeight="1">
      <c r="I257" s="2"/>
      <c r="J257" s="2"/>
      <c r="K257" s="2"/>
      <c r="L257" s="2"/>
      <c r="M257" s="2"/>
      <c r="N257" s="2"/>
      <c r="O257" s="2"/>
      <c r="P257" s="2"/>
      <c r="Q257" s="2"/>
      <c r="R257" s="2"/>
      <c r="S257" s="2"/>
    </row>
    <row r="258" spans="9:19" ht="14.25" customHeight="1">
      <c r="I258" s="2"/>
      <c r="J258" s="2"/>
      <c r="K258" s="2"/>
      <c r="L258" s="2"/>
      <c r="M258" s="2"/>
      <c r="N258" s="2"/>
      <c r="O258" s="2"/>
      <c r="P258" s="2"/>
      <c r="Q258" s="2"/>
      <c r="R258" s="2"/>
      <c r="S258" s="2"/>
    </row>
    <row r="259" spans="9:19" ht="14.25" customHeight="1">
      <c r="I259" s="2"/>
      <c r="J259" s="2"/>
      <c r="K259" s="2"/>
      <c r="L259" s="2"/>
      <c r="M259" s="2"/>
      <c r="N259" s="2"/>
      <c r="O259" s="2"/>
      <c r="P259" s="2"/>
      <c r="Q259" s="2"/>
      <c r="R259" s="2"/>
      <c r="S259" s="2"/>
    </row>
    <row r="260" spans="9:19" ht="14.25" customHeight="1">
      <c r="I260" s="2"/>
      <c r="J260" s="2"/>
      <c r="K260" s="2"/>
      <c r="L260" s="2"/>
      <c r="M260" s="2"/>
      <c r="N260" s="2"/>
      <c r="O260" s="2"/>
      <c r="P260" s="2"/>
      <c r="Q260" s="2"/>
      <c r="R260" s="2"/>
      <c r="S260" s="2"/>
    </row>
    <row r="261" spans="9:19" ht="14.25" customHeight="1">
      <c r="I261" s="2"/>
      <c r="J261" s="2"/>
      <c r="K261" s="2"/>
      <c r="L261" s="2"/>
      <c r="M261" s="2"/>
      <c r="N261" s="2"/>
      <c r="O261" s="2"/>
      <c r="P261" s="2"/>
      <c r="Q261" s="2"/>
      <c r="R261" s="2"/>
      <c r="S261" s="2"/>
    </row>
    <row r="262" spans="9:19" ht="14.25" customHeight="1">
      <c r="I262" s="2"/>
      <c r="J262" s="2"/>
      <c r="K262" s="2"/>
      <c r="L262" s="2"/>
      <c r="M262" s="2"/>
      <c r="N262" s="2"/>
      <c r="O262" s="2"/>
      <c r="P262" s="2"/>
      <c r="Q262" s="2"/>
      <c r="R262" s="2"/>
      <c r="S262" s="2"/>
    </row>
    <row r="263" spans="9:19" ht="14.25" customHeight="1">
      <c r="I263" s="2"/>
      <c r="J263" s="2"/>
      <c r="K263" s="2"/>
      <c r="L263" s="2"/>
      <c r="M263" s="2"/>
      <c r="N263" s="2"/>
      <c r="O263" s="2"/>
      <c r="P263" s="2"/>
      <c r="Q263" s="2"/>
      <c r="R263" s="2"/>
      <c r="S263" s="2"/>
    </row>
    <row r="264" spans="9:19" ht="14.25" customHeight="1">
      <c r="I264" s="2"/>
      <c r="J264" s="2"/>
      <c r="K264" s="2"/>
      <c r="L264" s="2"/>
      <c r="M264" s="2"/>
      <c r="N264" s="2"/>
      <c r="O264" s="2"/>
      <c r="P264" s="2"/>
      <c r="Q264" s="2"/>
      <c r="R264" s="2"/>
      <c r="S264" s="2"/>
    </row>
    <row r="265" spans="9:19" ht="14.25" customHeight="1">
      <c r="I265" s="2"/>
      <c r="J265" s="2"/>
      <c r="K265" s="2"/>
      <c r="L265" s="2"/>
      <c r="M265" s="2"/>
      <c r="N265" s="2"/>
      <c r="O265" s="2"/>
      <c r="P265" s="2"/>
      <c r="Q265" s="2"/>
      <c r="R265" s="2"/>
      <c r="S265" s="2"/>
    </row>
    <row r="266" spans="9:19" ht="14.25" customHeight="1">
      <c r="I266" s="2"/>
      <c r="J266" s="2"/>
      <c r="K266" s="2"/>
      <c r="L266" s="2"/>
      <c r="M266" s="2"/>
      <c r="N266" s="2"/>
      <c r="O266" s="2"/>
      <c r="P266" s="2"/>
      <c r="Q266" s="2"/>
      <c r="R266" s="2"/>
      <c r="S266" s="2"/>
    </row>
    <row r="267" spans="9:19" ht="14.25" customHeight="1">
      <c r="I267" s="2"/>
      <c r="J267" s="2"/>
      <c r="K267" s="2"/>
      <c r="L267" s="2"/>
      <c r="M267" s="2"/>
      <c r="N267" s="2"/>
      <c r="O267" s="2"/>
      <c r="P267" s="2"/>
      <c r="Q267" s="2"/>
      <c r="R267" s="2"/>
      <c r="S267" s="2"/>
    </row>
    <row r="268" spans="9:19" ht="14.25" customHeight="1">
      <c r="I268" s="2"/>
      <c r="J268" s="2"/>
      <c r="K268" s="2"/>
      <c r="L268" s="2"/>
      <c r="M268" s="2"/>
      <c r="N268" s="2"/>
      <c r="O268" s="2"/>
      <c r="P268" s="2"/>
      <c r="Q268" s="2"/>
      <c r="R268" s="2"/>
      <c r="S268" s="2"/>
    </row>
    <row r="269" spans="9:19" ht="14.25" customHeight="1">
      <c r="I269" s="2"/>
      <c r="J269" s="2"/>
      <c r="K269" s="2"/>
      <c r="L269" s="2"/>
      <c r="M269" s="2"/>
      <c r="N269" s="2"/>
      <c r="O269" s="2"/>
      <c r="P269" s="2"/>
      <c r="Q269" s="2"/>
      <c r="R269" s="2"/>
      <c r="S269" s="2"/>
    </row>
    <row r="270" spans="9:19" ht="14.25" customHeight="1">
      <c r="I270" s="2"/>
      <c r="J270" s="2"/>
      <c r="K270" s="2"/>
      <c r="L270" s="2"/>
      <c r="M270" s="2"/>
      <c r="N270" s="2"/>
      <c r="O270" s="2"/>
      <c r="P270" s="2"/>
      <c r="Q270" s="2"/>
      <c r="R270" s="2"/>
      <c r="S270" s="2"/>
    </row>
    <row r="271" spans="9:19" ht="14.25" customHeight="1">
      <c r="I271" s="2"/>
      <c r="J271" s="2"/>
      <c r="K271" s="2"/>
      <c r="L271" s="2"/>
      <c r="M271" s="2"/>
      <c r="N271" s="2"/>
      <c r="O271" s="2"/>
      <c r="P271" s="2"/>
      <c r="Q271" s="2"/>
      <c r="R271" s="2"/>
      <c r="S271" s="2"/>
    </row>
    <row r="272" spans="9:19" ht="14.25" customHeight="1">
      <c r="I272" s="2"/>
      <c r="J272" s="2"/>
      <c r="K272" s="2"/>
      <c r="L272" s="2"/>
      <c r="M272" s="2"/>
      <c r="N272" s="2"/>
      <c r="O272" s="2"/>
      <c r="P272" s="2"/>
      <c r="Q272" s="2"/>
      <c r="R272" s="2"/>
      <c r="S272" s="2"/>
    </row>
    <row r="273" spans="9:19" ht="14.25" customHeight="1">
      <c r="I273" s="2"/>
      <c r="J273" s="2"/>
      <c r="K273" s="2"/>
      <c r="L273" s="2"/>
      <c r="M273" s="2"/>
      <c r="N273" s="2"/>
      <c r="O273" s="2"/>
      <c r="P273" s="2"/>
      <c r="Q273" s="2"/>
      <c r="R273" s="2"/>
      <c r="S273" s="2"/>
    </row>
    <row r="274" spans="9:19" ht="14.25" customHeight="1">
      <c r="I274" s="2"/>
      <c r="J274" s="2"/>
      <c r="K274" s="2"/>
      <c r="L274" s="2"/>
      <c r="M274" s="2"/>
      <c r="N274" s="2"/>
      <c r="O274" s="2"/>
      <c r="P274" s="2"/>
      <c r="Q274" s="2"/>
      <c r="R274" s="2"/>
      <c r="S274" s="2"/>
    </row>
    <row r="275" spans="9:19" ht="14.25" customHeight="1">
      <c r="I275" s="2"/>
      <c r="J275" s="2"/>
      <c r="K275" s="2"/>
      <c r="L275" s="2"/>
      <c r="M275" s="2"/>
      <c r="N275" s="2"/>
      <c r="O275" s="2"/>
      <c r="P275" s="2"/>
      <c r="Q275" s="2"/>
      <c r="R275" s="2"/>
      <c r="S275" s="2"/>
    </row>
    <row r="276" spans="9:19" ht="14.25" customHeight="1">
      <c r="I276" s="2"/>
      <c r="J276" s="2"/>
      <c r="K276" s="2"/>
      <c r="L276" s="2"/>
      <c r="M276" s="2"/>
      <c r="N276" s="2"/>
      <c r="O276" s="2"/>
      <c r="P276" s="2"/>
      <c r="Q276" s="2"/>
      <c r="R276" s="2"/>
      <c r="S276" s="2"/>
    </row>
    <row r="277" spans="9:19" ht="14.25" customHeight="1">
      <c r="I277" s="2"/>
      <c r="J277" s="2"/>
      <c r="K277" s="2"/>
      <c r="L277" s="2"/>
      <c r="M277" s="2"/>
      <c r="N277" s="2"/>
      <c r="O277" s="2"/>
      <c r="P277" s="2"/>
      <c r="Q277" s="2"/>
      <c r="R277" s="2"/>
      <c r="S277" s="2"/>
    </row>
    <row r="278" spans="9:19" ht="14.25" customHeight="1">
      <c r="I278" s="2"/>
      <c r="J278" s="2"/>
      <c r="K278" s="2"/>
      <c r="L278" s="2"/>
      <c r="M278" s="2"/>
      <c r="N278" s="2"/>
      <c r="O278" s="2"/>
      <c r="P278" s="2"/>
      <c r="Q278" s="2"/>
      <c r="R278" s="2"/>
      <c r="S278" s="2"/>
    </row>
    <row r="279" spans="9:19" ht="14.25" customHeight="1">
      <c r="I279" s="2"/>
      <c r="J279" s="2"/>
      <c r="K279" s="2"/>
      <c r="L279" s="2"/>
      <c r="M279" s="2"/>
      <c r="N279" s="2"/>
      <c r="O279" s="2"/>
      <c r="P279" s="2"/>
      <c r="Q279" s="2"/>
      <c r="R279" s="2"/>
      <c r="S279" s="2"/>
    </row>
    <row r="280" spans="9:19" ht="14.25" customHeight="1">
      <c r="I280" s="2"/>
      <c r="J280" s="2"/>
      <c r="K280" s="2"/>
      <c r="L280" s="2"/>
      <c r="M280" s="2"/>
      <c r="N280" s="2"/>
      <c r="O280" s="2"/>
      <c r="P280" s="2"/>
      <c r="Q280" s="2"/>
      <c r="R280" s="2"/>
      <c r="S280" s="2"/>
    </row>
    <row r="281" spans="9:19" ht="14.25" customHeight="1">
      <c r="I281" s="2"/>
      <c r="J281" s="2"/>
      <c r="K281" s="2"/>
      <c r="L281" s="2"/>
      <c r="M281" s="2"/>
      <c r="N281" s="2"/>
      <c r="O281" s="2"/>
      <c r="P281" s="2"/>
      <c r="Q281" s="2"/>
      <c r="R281" s="2"/>
      <c r="S281" s="2"/>
    </row>
    <row r="282" spans="9:19" ht="14.25" customHeight="1">
      <c r="I282" s="2"/>
      <c r="J282" s="2"/>
      <c r="K282" s="2"/>
      <c r="L282" s="2"/>
      <c r="M282" s="2"/>
      <c r="N282" s="2"/>
      <c r="O282" s="2"/>
      <c r="P282" s="2"/>
      <c r="Q282" s="2"/>
      <c r="R282" s="2"/>
      <c r="S282" s="2"/>
    </row>
    <row r="283" spans="9:19" ht="14.25" customHeight="1">
      <c r="I283" s="2"/>
      <c r="J283" s="2"/>
      <c r="K283" s="2"/>
      <c r="L283" s="2"/>
      <c r="M283" s="2"/>
      <c r="N283" s="2"/>
      <c r="O283" s="2"/>
      <c r="P283" s="2"/>
      <c r="Q283" s="2"/>
      <c r="R283" s="2"/>
      <c r="S283" s="2"/>
    </row>
    <row r="284" spans="9:19" ht="14.25" customHeight="1">
      <c r="I284" s="2"/>
      <c r="J284" s="2"/>
      <c r="K284" s="2"/>
      <c r="L284" s="2"/>
      <c r="M284" s="2"/>
      <c r="N284" s="2"/>
      <c r="O284" s="2"/>
      <c r="P284" s="2"/>
      <c r="Q284" s="2"/>
      <c r="R284" s="2"/>
      <c r="S284" s="2"/>
    </row>
    <row r="285" spans="9:19" ht="14.25" customHeight="1">
      <c r="I285" s="2"/>
      <c r="J285" s="2"/>
      <c r="K285" s="2"/>
      <c r="L285" s="2"/>
      <c r="M285" s="2"/>
      <c r="N285" s="2"/>
      <c r="O285" s="2"/>
      <c r="P285" s="2"/>
      <c r="Q285" s="2"/>
      <c r="R285" s="2"/>
      <c r="S285" s="2"/>
    </row>
    <row r="286" spans="9:19" ht="14.25" customHeight="1">
      <c r="I286" s="2"/>
      <c r="J286" s="2"/>
      <c r="K286" s="2"/>
      <c r="L286" s="2"/>
      <c r="M286" s="2"/>
      <c r="N286" s="2"/>
      <c r="O286" s="2"/>
      <c r="P286" s="2"/>
      <c r="Q286" s="2"/>
      <c r="R286" s="2"/>
      <c r="S286" s="2"/>
    </row>
    <row r="287" spans="9:19" ht="14.25" customHeight="1">
      <c r="I287" s="2"/>
      <c r="J287" s="2"/>
      <c r="K287" s="2"/>
      <c r="L287" s="2"/>
      <c r="M287" s="2"/>
      <c r="N287" s="2"/>
      <c r="O287" s="2"/>
      <c r="P287" s="2"/>
      <c r="Q287" s="2"/>
      <c r="R287" s="2"/>
      <c r="S287" s="2"/>
    </row>
    <row r="288" spans="9:19" ht="14.25" customHeight="1">
      <c r="I288" s="2"/>
      <c r="J288" s="2"/>
      <c r="K288" s="2"/>
      <c r="L288" s="2"/>
      <c r="M288" s="2"/>
      <c r="N288" s="2"/>
      <c r="O288" s="2"/>
      <c r="P288" s="2"/>
      <c r="Q288" s="2"/>
      <c r="R288" s="2"/>
      <c r="S288" s="2"/>
    </row>
    <row r="289" spans="9:19" ht="14.25" customHeight="1">
      <c r="I289" s="2"/>
      <c r="J289" s="2"/>
      <c r="K289" s="2"/>
      <c r="L289" s="2"/>
      <c r="M289" s="2"/>
      <c r="N289" s="2"/>
      <c r="O289" s="2"/>
      <c r="P289" s="2"/>
      <c r="Q289" s="2"/>
      <c r="R289" s="2"/>
      <c r="S289" s="2"/>
    </row>
    <row r="290" spans="9:19" ht="14.25" customHeight="1">
      <c r="I290" s="2"/>
      <c r="J290" s="2"/>
      <c r="K290" s="2"/>
      <c r="L290" s="2"/>
      <c r="M290" s="2"/>
      <c r="N290" s="2"/>
      <c r="O290" s="2"/>
      <c r="P290" s="2"/>
      <c r="Q290" s="2"/>
      <c r="R290" s="2"/>
      <c r="S290" s="2"/>
    </row>
    <row r="291" spans="9:19" ht="14.25" customHeight="1">
      <c r="I291" s="2"/>
      <c r="J291" s="2"/>
      <c r="K291" s="2"/>
      <c r="L291" s="2"/>
      <c r="M291" s="2"/>
      <c r="N291" s="2"/>
      <c r="O291" s="2"/>
      <c r="P291" s="2"/>
      <c r="Q291" s="2"/>
      <c r="R291" s="2"/>
      <c r="S291" s="2"/>
    </row>
    <row r="292" spans="9:19" ht="14.25" customHeight="1">
      <c r="I292" s="2"/>
      <c r="J292" s="2"/>
      <c r="K292" s="2"/>
      <c r="L292" s="2"/>
      <c r="M292" s="2"/>
      <c r="N292" s="2"/>
      <c r="O292" s="2"/>
      <c r="P292" s="2"/>
      <c r="Q292" s="2"/>
      <c r="R292" s="2"/>
      <c r="S292" s="2"/>
    </row>
    <row r="293" spans="9:19" ht="14.25" customHeight="1">
      <c r="I293" s="2"/>
      <c r="J293" s="2"/>
      <c r="K293" s="2"/>
      <c r="L293" s="2"/>
      <c r="M293" s="2"/>
      <c r="N293" s="2"/>
      <c r="O293" s="2"/>
      <c r="P293" s="2"/>
      <c r="Q293" s="2"/>
      <c r="R293" s="2"/>
      <c r="S293" s="2"/>
    </row>
    <row r="294" spans="9:19" ht="14.25" customHeight="1">
      <c r="I294" s="2"/>
      <c r="J294" s="2"/>
      <c r="K294" s="2"/>
      <c r="L294" s="2"/>
      <c r="M294" s="2"/>
      <c r="N294" s="2"/>
      <c r="O294" s="2"/>
      <c r="P294" s="2"/>
      <c r="Q294" s="2"/>
      <c r="R294" s="2"/>
      <c r="S294" s="2"/>
    </row>
    <row r="295" spans="9:19" ht="14.25" customHeight="1">
      <c r="I295" s="2"/>
      <c r="J295" s="2"/>
      <c r="K295" s="2"/>
      <c r="L295" s="2"/>
      <c r="M295" s="2"/>
      <c r="N295" s="2"/>
      <c r="O295" s="2"/>
      <c r="P295" s="2"/>
      <c r="Q295" s="2"/>
      <c r="R295" s="2"/>
      <c r="S295" s="2"/>
    </row>
    <row r="296" spans="9:19" ht="14.25" customHeight="1">
      <c r="I296" s="2"/>
      <c r="J296" s="2"/>
      <c r="K296" s="2"/>
      <c r="L296" s="2"/>
      <c r="M296" s="2"/>
      <c r="N296" s="2"/>
      <c r="O296" s="2"/>
      <c r="P296" s="2"/>
      <c r="Q296" s="2"/>
      <c r="R296" s="2"/>
      <c r="S296" s="2"/>
    </row>
    <row r="297" spans="9:19" ht="14.25" customHeight="1">
      <c r="I297" s="2"/>
      <c r="J297" s="2"/>
      <c r="K297" s="2"/>
      <c r="L297" s="2"/>
      <c r="M297" s="2"/>
      <c r="N297" s="2"/>
      <c r="O297" s="2"/>
      <c r="P297" s="2"/>
      <c r="Q297" s="2"/>
      <c r="R297" s="2"/>
      <c r="S297" s="2"/>
    </row>
    <row r="298" spans="9:19" ht="14.25" customHeight="1">
      <c r="I298" s="2"/>
      <c r="J298" s="2"/>
      <c r="K298" s="2"/>
      <c r="L298" s="2"/>
      <c r="M298" s="2"/>
      <c r="N298" s="2"/>
      <c r="O298" s="2"/>
      <c r="P298" s="2"/>
      <c r="Q298" s="2"/>
      <c r="R298" s="2"/>
      <c r="S298" s="2"/>
    </row>
    <row r="299" spans="9:19" ht="14.25" customHeight="1">
      <c r="I299" s="2"/>
      <c r="J299" s="2"/>
      <c r="K299" s="2"/>
      <c r="L299" s="2"/>
      <c r="M299" s="2"/>
      <c r="N299" s="2"/>
      <c r="O299" s="2"/>
      <c r="P299" s="2"/>
      <c r="Q299" s="2"/>
      <c r="R299" s="2"/>
      <c r="S299" s="2"/>
    </row>
    <row r="300" spans="9:19" ht="14.25" customHeight="1">
      <c r="I300" s="2"/>
      <c r="J300" s="2"/>
      <c r="K300" s="2"/>
      <c r="L300" s="2"/>
      <c r="M300" s="2"/>
      <c r="N300" s="2"/>
      <c r="O300" s="2"/>
      <c r="P300" s="2"/>
      <c r="Q300" s="2"/>
      <c r="R300" s="2"/>
      <c r="S300" s="2"/>
    </row>
    <row r="301" spans="9:19" ht="14.25" customHeight="1">
      <c r="I301" s="2"/>
      <c r="J301" s="2"/>
      <c r="K301" s="2"/>
      <c r="L301" s="2"/>
      <c r="M301" s="2"/>
      <c r="N301" s="2"/>
      <c r="O301" s="2"/>
      <c r="P301" s="2"/>
      <c r="Q301" s="2"/>
      <c r="R301" s="2"/>
      <c r="S301" s="2"/>
    </row>
    <row r="302" spans="9:19" ht="14.25" customHeight="1">
      <c r="I302" s="2"/>
      <c r="J302" s="2"/>
      <c r="K302" s="2"/>
      <c r="L302" s="2"/>
      <c r="M302" s="2"/>
      <c r="N302" s="2"/>
      <c r="O302" s="2"/>
      <c r="P302" s="2"/>
      <c r="Q302" s="2"/>
      <c r="R302" s="2"/>
      <c r="S302" s="2"/>
    </row>
    <row r="303" spans="9:19" ht="14.25" customHeight="1">
      <c r="I303" s="2"/>
      <c r="J303" s="2"/>
      <c r="K303" s="2"/>
      <c r="L303" s="2"/>
      <c r="M303" s="2"/>
      <c r="N303" s="2"/>
      <c r="O303" s="2"/>
      <c r="P303" s="2"/>
      <c r="Q303" s="2"/>
      <c r="R303" s="2"/>
      <c r="S303" s="2"/>
    </row>
    <row r="304" spans="9:19" ht="14.25" customHeight="1">
      <c r="I304" s="2"/>
      <c r="J304" s="2"/>
      <c r="K304" s="2"/>
      <c r="L304" s="2"/>
      <c r="M304" s="2"/>
      <c r="N304" s="2"/>
      <c r="O304" s="2"/>
      <c r="P304" s="2"/>
      <c r="Q304" s="2"/>
      <c r="R304" s="2"/>
      <c r="S304" s="2"/>
    </row>
    <row r="305" spans="9:19" ht="14.25" customHeight="1">
      <c r="I305" s="2"/>
      <c r="J305" s="2"/>
      <c r="K305" s="2"/>
      <c r="L305" s="2"/>
      <c r="M305" s="2"/>
      <c r="N305" s="2"/>
      <c r="O305" s="2"/>
      <c r="P305" s="2"/>
      <c r="Q305" s="2"/>
      <c r="R305" s="2"/>
      <c r="S305" s="2"/>
    </row>
    <row r="306" spans="9:19" ht="14.25" customHeight="1">
      <c r="I306" s="2"/>
      <c r="J306" s="2"/>
      <c r="K306" s="2"/>
      <c r="L306" s="2"/>
      <c r="M306" s="2"/>
      <c r="N306" s="2"/>
      <c r="O306" s="2"/>
      <c r="P306" s="2"/>
      <c r="Q306" s="2"/>
      <c r="R306" s="2"/>
      <c r="S306" s="2"/>
    </row>
    <row r="307" spans="9:19" ht="14.25" customHeight="1">
      <c r="I307" s="2"/>
      <c r="J307" s="2"/>
      <c r="K307" s="2"/>
      <c r="L307" s="2"/>
      <c r="M307" s="2"/>
      <c r="N307" s="2"/>
      <c r="O307" s="2"/>
      <c r="P307" s="2"/>
      <c r="Q307" s="2"/>
      <c r="R307" s="2"/>
      <c r="S307" s="2"/>
    </row>
    <row r="308" spans="9:19" ht="14.25" customHeight="1">
      <c r="I308" s="2"/>
      <c r="J308" s="2"/>
      <c r="K308" s="2"/>
      <c r="L308" s="2"/>
      <c r="M308" s="2"/>
      <c r="N308" s="2"/>
      <c r="O308" s="2"/>
      <c r="P308" s="2"/>
      <c r="Q308" s="2"/>
      <c r="R308" s="2"/>
      <c r="S308" s="2"/>
    </row>
    <row r="309" spans="9:19" ht="14.25" customHeight="1">
      <c r="I309" s="2"/>
      <c r="J309" s="2"/>
      <c r="K309" s="2"/>
      <c r="L309" s="2"/>
      <c r="M309" s="2"/>
      <c r="N309" s="2"/>
      <c r="O309" s="2"/>
      <c r="P309" s="2"/>
      <c r="Q309" s="2"/>
      <c r="R309" s="2"/>
      <c r="S309" s="2"/>
    </row>
    <row r="310" spans="9:19" ht="14.25" customHeight="1">
      <c r="I310" s="2"/>
      <c r="J310" s="2"/>
      <c r="K310" s="2"/>
      <c r="L310" s="2"/>
      <c r="M310" s="2"/>
      <c r="N310" s="2"/>
      <c r="O310" s="2"/>
      <c r="P310" s="2"/>
      <c r="Q310" s="2"/>
      <c r="R310" s="2"/>
      <c r="S310" s="2"/>
    </row>
    <row r="311" spans="9:19" ht="14.25" customHeight="1">
      <c r="I311" s="2"/>
      <c r="J311" s="2"/>
      <c r="K311" s="2"/>
      <c r="L311" s="2"/>
      <c r="M311" s="2"/>
      <c r="N311" s="2"/>
      <c r="O311" s="2"/>
      <c r="P311" s="2"/>
      <c r="Q311" s="2"/>
      <c r="R311" s="2"/>
      <c r="S311" s="2"/>
    </row>
    <row r="312" spans="9:19" ht="14.25" customHeight="1">
      <c r="I312" s="2"/>
      <c r="J312" s="2"/>
      <c r="K312" s="2"/>
      <c r="L312" s="2"/>
      <c r="M312" s="2"/>
      <c r="N312" s="2"/>
      <c r="O312" s="2"/>
      <c r="P312" s="2"/>
      <c r="Q312" s="2"/>
      <c r="R312" s="2"/>
      <c r="S312" s="2"/>
    </row>
    <row r="313" spans="9:19" ht="14.25" customHeight="1">
      <c r="I313" s="2"/>
      <c r="J313" s="2"/>
      <c r="K313" s="2"/>
      <c r="L313" s="2"/>
      <c r="M313" s="2"/>
      <c r="N313" s="2"/>
      <c r="O313" s="2"/>
      <c r="P313" s="2"/>
      <c r="Q313" s="2"/>
      <c r="R313" s="2"/>
      <c r="S313" s="2"/>
    </row>
    <row r="314" spans="9:19" ht="14.25" customHeight="1">
      <c r="I314" s="2"/>
      <c r="J314" s="2"/>
      <c r="K314" s="2"/>
      <c r="L314" s="2"/>
      <c r="M314" s="2"/>
      <c r="N314" s="2"/>
      <c r="O314" s="2"/>
      <c r="P314" s="2"/>
      <c r="Q314" s="2"/>
      <c r="R314" s="2"/>
      <c r="S314" s="2"/>
    </row>
    <row r="315" spans="9:19" ht="14.25" customHeight="1">
      <c r="I315" s="2"/>
      <c r="J315" s="2"/>
      <c r="K315" s="2"/>
      <c r="L315" s="2"/>
      <c r="M315" s="2"/>
      <c r="N315" s="2"/>
      <c r="O315" s="2"/>
      <c r="P315" s="2"/>
      <c r="Q315" s="2"/>
      <c r="R315" s="2"/>
      <c r="S315" s="2"/>
    </row>
    <row r="316" spans="9:19" ht="14.25" customHeight="1">
      <c r="I316" s="2"/>
      <c r="J316" s="2"/>
      <c r="K316" s="2"/>
      <c r="L316" s="2"/>
      <c r="M316" s="2"/>
      <c r="N316" s="2"/>
      <c r="O316" s="2"/>
      <c r="P316" s="2"/>
      <c r="Q316" s="2"/>
      <c r="R316" s="2"/>
      <c r="S316" s="2"/>
    </row>
    <row r="317" spans="9:19" ht="14.25" customHeight="1">
      <c r="I317" s="2"/>
      <c r="J317" s="2"/>
      <c r="K317" s="2"/>
      <c r="L317" s="2"/>
      <c r="M317" s="2"/>
      <c r="N317" s="2"/>
      <c r="O317" s="2"/>
      <c r="P317" s="2"/>
      <c r="Q317" s="2"/>
      <c r="R317" s="2"/>
      <c r="S317" s="2"/>
    </row>
    <row r="318" spans="9:19" ht="14.25" customHeight="1">
      <c r="I318" s="2"/>
      <c r="J318" s="2"/>
      <c r="K318" s="2"/>
      <c r="L318" s="2"/>
      <c r="M318" s="2"/>
      <c r="N318" s="2"/>
      <c r="O318" s="2"/>
      <c r="P318" s="2"/>
      <c r="Q318" s="2"/>
      <c r="R318" s="2"/>
      <c r="S318" s="2"/>
    </row>
    <row r="319" spans="9:19" ht="14.25" customHeight="1">
      <c r="I319" s="2"/>
      <c r="J319" s="2"/>
      <c r="K319" s="2"/>
      <c r="L319" s="2"/>
      <c r="M319" s="2"/>
      <c r="N319" s="2"/>
      <c r="O319" s="2"/>
      <c r="P319" s="2"/>
      <c r="Q319" s="2"/>
      <c r="R319" s="2"/>
      <c r="S319" s="2"/>
    </row>
    <row r="320" spans="9:19" ht="14.25" customHeight="1">
      <c r="I320" s="2"/>
      <c r="J320" s="2"/>
      <c r="K320" s="2"/>
      <c r="L320" s="2"/>
      <c r="M320" s="2"/>
      <c r="N320" s="2"/>
      <c r="O320" s="2"/>
      <c r="P320" s="2"/>
      <c r="Q320" s="2"/>
      <c r="R320" s="2"/>
      <c r="S320" s="2"/>
    </row>
    <row r="321" spans="9:19" ht="14.25" customHeight="1">
      <c r="I321" s="2"/>
      <c r="J321" s="2"/>
      <c r="K321" s="2"/>
      <c r="L321" s="2"/>
      <c r="M321" s="2"/>
      <c r="N321" s="2"/>
      <c r="O321" s="2"/>
      <c r="P321" s="2"/>
      <c r="Q321" s="2"/>
      <c r="R321" s="2"/>
      <c r="S321" s="2"/>
    </row>
    <row r="322" spans="9:19" ht="14.25" customHeight="1">
      <c r="I322" s="2"/>
      <c r="J322" s="2"/>
      <c r="K322" s="2"/>
      <c r="L322" s="2"/>
      <c r="M322" s="2"/>
      <c r="N322" s="2"/>
      <c r="O322" s="2"/>
      <c r="P322" s="2"/>
      <c r="Q322" s="2"/>
      <c r="R322" s="2"/>
      <c r="S322" s="2"/>
    </row>
    <row r="323" spans="9:19" ht="14.25" customHeight="1">
      <c r="I323" s="2"/>
      <c r="J323" s="2"/>
      <c r="K323" s="2"/>
      <c r="L323" s="2"/>
      <c r="M323" s="2"/>
      <c r="N323" s="2"/>
      <c r="O323" s="2"/>
      <c r="P323" s="2"/>
      <c r="Q323" s="2"/>
      <c r="R323" s="2"/>
      <c r="S323" s="2"/>
    </row>
    <row r="324" spans="9:19" ht="14.25" customHeight="1">
      <c r="I324" s="2"/>
      <c r="J324" s="2"/>
      <c r="K324" s="2"/>
      <c r="L324" s="2"/>
      <c r="M324" s="2"/>
      <c r="N324" s="2"/>
      <c r="O324" s="2"/>
      <c r="P324" s="2"/>
      <c r="Q324" s="2"/>
      <c r="R324" s="2"/>
      <c r="S324" s="2"/>
    </row>
    <row r="325" spans="9:19" ht="14.25" customHeight="1">
      <c r="I325" s="2"/>
      <c r="J325" s="2"/>
      <c r="K325" s="2"/>
      <c r="L325" s="2"/>
      <c r="M325" s="2"/>
      <c r="N325" s="2"/>
      <c r="O325" s="2"/>
      <c r="P325" s="2"/>
      <c r="Q325" s="2"/>
      <c r="R325" s="2"/>
      <c r="S325" s="2"/>
    </row>
    <row r="326" spans="9:19" ht="14.25" customHeight="1">
      <c r="I326" s="2"/>
      <c r="J326" s="2"/>
      <c r="K326" s="2"/>
      <c r="L326" s="2"/>
      <c r="M326" s="2"/>
      <c r="N326" s="2"/>
      <c r="O326" s="2"/>
      <c r="P326" s="2"/>
      <c r="Q326" s="2"/>
      <c r="R326" s="2"/>
      <c r="S326" s="2"/>
    </row>
    <row r="327" spans="9:19" ht="14.25" customHeight="1">
      <c r="I327" s="2"/>
      <c r="J327" s="2"/>
      <c r="K327" s="2"/>
      <c r="L327" s="2"/>
      <c r="M327" s="2"/>
      <c r="N327" s="2"/>
      <c r="O327" s="2"/>
      <c r="P327" s="2"/>
      <c r="Q327" s="2"/>
      <c r="R327" s="2"/>
      <c r="S327" s="2"/>
    </row>
    <row r="328" spans="9:19" ht="14.25" customHeight="1">
      <c r="I328" s="2"/>
      <c r="J328" s="2"/>
      <c r="K328" s="2"/>
      <c r="L328" s="2"/>
      <c r="M328" s="2"/>
      <c r="N328" s="2"/>
      <c r="O328" s="2"/>
      <c r="P328" s="2"/>
      <c r="Q328" s="2"/>
      <c r="R328" s="2"/>
      <c r="S328" s="2"/>
    </row>
    <row r="329" spans="9:19" ht="14.25" customHeight="1">
      <c r="I329" s="2"/>
      <c r="J329" s="2"/>
      <c r="K329" s="2"/>
      <c r="L329" s="2"/>
      <c r="M329" s="2"/>
      <c r="N329" s="2"/>
      <c r="O329" s="2"/>
      <c r="P329" s="2"/>
      <c r="Q329" s="2"/>
      <c r="R329" s="2"/>
      <c r="S329" s="2"/>
    </row>
    <row r="330" spans="9:19" ht="14.25" customHeight="1">
      <c r="I330" s="2"/>
      <c r="J330" s="2"/>
      <c r="K330" s="2"/>
      <c r="L330" s="2"/>
      <c r="M330" s="2"/>
      <c r="N330" s="2"/>
      <c r="O330" s="2"/>
      <c r="P330" s="2"/>
      <c r="Q330" s="2"/>
      <c r="R330" s="2"/>
      <c r="S330" s="2"/>
    </row>
    <row r="331" spans="9:19" ht="14.25" customHeight="1">
      <c r="I331" s="2"/>
      <c r="J331" s="2"/>
      <c r="K331" s="2"/>
      <c r="L331" s="2"/>
      <c r="M331" s="2"/>
      <c r="N331" s="2"/>
      <c r="O331" s="2"/>
      <c r="P331" s="2"/>
      <c r="Q331" s="2"/>
      <c r="R331" s="2"/>
      <c r="S331" s="2"/>
    </row>
    <row r="332" spans="9:19" ht="14.25" customHeight="1">
      <c r="I332" s="2"/>
      <c r="J332" s="2"/>
      <c r="K332" s="2"/>
      <c r="L332" s="2"/>
      <c r="M332" s="2"/>
      <c r="N332" s="2"/>
      <c r="O332" s="2"/>
      <c r="P332" s="2"/>
      <c r="Q332" s="2"/>
      <c r="R332" s="2"/>
      <c r="S332" s="2"/>
    </row>
    <row r="333" spans="9:19" ht="14.25" customHeight="1">
      <c r="I333" s="2"/>
      <c r="J333" s="2"/>
      <c r="K333" s="2"/>
      <c r="L333" s="2"/>
      <c r="M333" s="2"/>
      <c r="N333" s="2"/>
      <c r="O333" s="2"/>
      <c r="P333" s="2"/>
      <c r="Q333" s="2"/>
      <c r="R333" s="2"/>
      <c r="S333" s="2"/>
    </row>
    <row r="334" spans="9:19" ht="14.25" customHeight="1">
      <c r="I334" s="2"/>
      <c r="J334" s="2"/>
      <c r="K334" s="2"/>
      <c r="L334" s="2"/>
      <c r="M334" s="2"/>
      <c r="N334" s="2"/>
      <c r="O334" s="2"/>
      <c r="P334" s="2"/>
      <c r="Q334" s="2"/>
      <c r="R334" s="2"/>
      <c r="S334" s="2"/>
    </row>
    <row r="335" spans="9:19" ht="14.25" customHeight="1">
      <c r="I335" s="2"/>
      <c r="J335" s="2"/>
      <c r="K335" s="2"/>
      <c r="L335" s="2"/>
      <c r="M335" s="2"/>
      <c r="N335" s="2"/>
      <c r="O335" s="2"/>
      <c r="P335" s="2"/>
      <c r="Q335" s="2"/>
      <c r="R335" s="2"/>
      <c r="S335" s="2"/>
    </row>
    <row r="336" spans="9:19" ht="14.25" customHeight="1">
      <c r="I336" s="2"/>
      <c r="J336" s="2"/>
      <c r="K336" s="2"/>
      <c r="L336" s="2"/>
      <c r="M336" s="2"/>
      <c r="N336" s="2"/>
      <c r="O336" s="2"/>
      <c r="P336" s="2"/>
      <c r="Q336" s="2"/>
      <c r="R336" s="2"/>
      <c r="S336" s="2"/>
    </row>
    <row r="337" spans="9:19" ht="14.25" customHeight="1">
      <c r="I337" s="2"/>
      <c r="J337" s="2"/>
      <c r="K337" s="2"/>
      <c r="L337" s="2"/>
      <c r="M337" s="2"/>
      <c r="N337" s="2"/>
      <c r="O337" s="2"/>
      <c r="P337" s="2"/>
      <c r="Q337" s="2"/>
      <c r="R337" s="2"/>
      <c r="S337" s="2"/>
    </row>
    <row r="338" spans="9:19" ht="14.25" customHeight="1">
      <c r="I338" s="2"/>
      <c r="J338" s="2"/>
      <c r="K338" s="2"/>
      <c r="L338" s="2"/>
      <c r="M338" s="2"/>
      <c r="N338" s="2"/>
      <c r="O338" s="2"/>
      <c r="P338" s="2"/>
      <c r="Q338" s="2"/>
      <c r="R338" s="2"/>
      <c r="S338" s="2"/>
    </row>
    <row r="339" spans="9:19" ht="14.25" customHeight="1">
      <c r="I339" s="2"/>
      <c r="J339" s="2"/>
      <c r="K339" s="2"/>
      <c r="L339" s="2"/>
      <c r="M339" s="2"/>
      <c r="N339" s="2"/>
      <c r="O339" s="2"/>
      <c r="P339" s="2"/>
      <c r="Q339" s="2"/>
      <c r="R339" s="2"/>
      <c r="S339" s="2"/>
    </row>
    <row r="340" spans="9:19" ht="14.25" customHeight="1">
      <c r="I340" s="2"/>
      <c r="J340" s="2"/>
      <c r="K340" s="2"/>
      <c r="L340" s="2"/>
      <c r="M340" s="2"/>
      <c r="N340" s="2"/>
      <c r="O340" s="2"/>
      <c r="P340" s="2"/>
      <c r="Q340" s="2"/>
      <c r="R340" s="2"/>
      <c r="S340" s="2"/>
    </row>
    <row r="341" spans="9:19" ht="14.25" customHeight="1">
      <c r="I341" s="2"/>
      <c r="J341" s="2"/>
      <c r="K341" s="2"/>
      <c r="L341" s="2"/>
      <c r="M341" s="2"/>
      <c r="N341" s="2"/>
      <c r="O341" s="2"/>
      <c r="P341" s="2"/>
      <c r="Q341" s="2"/>
      <c r="R341" s="2"/>
      <c r="S341" s="2"/>
    </row>
    <row r="342" spans="9:19" ht="14.25" customHeight="1">
      <c r="I342" s="2"/>
      <c r="J342" s="2"/>
      <c r="K342" s="2"/>
      <c r="L342" s="2"/>
      <c r="M342" s="2"/>
      <c r="N342" s="2"/>
      <c r="O342" s="2"/>
      <c r="P342" s="2"/>
      <c r="Q342" s="2"/>
      <c r="R342" s="2"/>
      <c r="S342" s="2"/>
    </row>
    <row r="343" spans="9:19" ht="14.25" customHeight="1">
      <c r="I343" s="2"/>
      <c r="J343" s="2"/>
      <c r="K343" s="2"/>
      <c r="L343" s="2"/>
      <c r="M343" s="2"/>
      <c r="N343" s="2"/>
      <c r="O343" s="2"/>
      <c r="P343" s="2"/>
      <c r="Q343" s="2"/>
      <c r="R343" s="2"/>
      <c r="S343" s="2"/>
    </row>
    <row r="344" spans="9:19" ht="14.25" customHeight="1">
      <c r="I344" s="2"/>
      <c r="J344" s="2"/>
      <c r="K344" s="2"/>
      <c r="L344" s="2"/>
      <c r="M344" s="2"/>
      <c r="N344" s="2"/>
      <c r="O344" s="2"/>
      <c r="P344" s="2"/>
      <c r="Q344" s="2"/>
      <c r="R344" s="2"/>
      <c r="S344" s="2"/>
    </row>
    <row r="345" spans="9:19" ht="14.25" customHeight="1">
      <c r="I345" s="2"/>
      <c r="J345" s="2"/>
      <c r="K345" s="2"/>
      <c r="L345" s="2"/>
      <c r="M345" s="2"/>
      <c r="N345" s="2"/>
      <c r="O345" s="2"/>
      <c r="P345" s="2"/>
      <c r="Q345" s="2"/>
      <c r="R345" s="2"/>
      <c r="S345" s="2"/>
    </row>
    <row r="346" spans="9:19" ht="14.25" customHeight="1">
      <c r="I346" s="2"/>
      <c r="J346" s="2"/>
      <c r="K346" s="2"/>
      <c r="L346" s="2"/>
      <c r="M346" s="2"/>
      <c r="N346" s="2"/>
      <c r="O346" s="2"/>
      <c r="P346" s="2"/>
      <c r="Q346" s="2"/>
      <c r="R346" s="2"/>
      <c r="S346" s="2"/>
    </row>
    <row r="347" spans="9:19" ht="14.25" customHeight="1">
      <c r="I347" s="2"/>
      <c r="J347" s="2"/>
      <c r="K347" s="2"/>
      <c r="L347" s="2"/>
      <c r="M347" s="2"/>
      <c r="N347" s="2"/>
      <c r="O347" s="2"/>
      <c r="P347" s="2"/>
      <c r="Q347" s="2"/>
      <c r="R347" s="2"/>
      <c r="S347" s="2"/>
    </row>
    <row r="348" spans="9:19" ht="14.25" customHeight="1">
      <c r="I348" s="2"/>
      <c r="J348" s="2"/>
      <c r="K348" s="2"/>
      <c r="L348" s="2"/>
      <c r="M348" s="2"/>
      <c r="N348" s="2"/>
      <c r="O348" s="2"/>
      <c r="P348" s="2"/>
      <c r="Q348" s="2"/>
      <c r="R348" s="2"/>
      <c r="S348" s="2"/>
    </row>
    <row r="349" spans="9:19" ht="14.25" customHeight="1">
      <c r="I349" s="2"/>
      <c r="J349" s="2"/>
      <c r="K349" s="2"/>
      <c r="L349" s="2"/>
      <c r="M349" s="2"/>
      <c r="N349" s="2"/>
      <c r="O349" s="2"/>
      <c r="P349" s="2"/>
      <c r="Q349" s="2"/>
      <c r="R349" s="2"/>
      <c r="S349" s="2"/>
    </row>
    <row r="350" spans="9:19" ht="14.25" customHeight="1">
      <c r="I350" s="2"/>
      <c r="J350" s="2"/>
      <c r="K350" s="2"/>
      <c r="L350" s="2"/>
      <c r="M350" s="2"/>
      <c r="N350" s="2"/>
      <c r="O350" s="2"/>
      <c r="P350" s="2"/>
      <c r="Q350" s="2"/>
      <c r="R350" s="2"/>
      <c r="S350" s="2"/>
    </row>
    <row r="351" spans="9:19" ht="14.25" customHeight="1">
      <c r="I351" s="2"/>
      <c r="J351" s="2"/>
      <c r="K351" s="2"/>
      <c r="L351" s="2"/>
      <c r="M351" s="2"/>
      <c r="N351" s="2"/>
      <c r="O351" s="2"/>
      <c r="P351" s="2"/>
      <c r="Q351" s="2"/>
      <c r="R351" s="2"/>
      <c r="S351" s="2"/>
    </row>
    <row r="352" spans="9:19" ht="14.25" customHeight="1">
      <c r="I352" s="2"/>
      <c r="J352" s="2"/>
      <c r="K352" s="2"/>
      <c r="L352" s="2"/>
      <c r="M352" s="2"/>
      <c r="N352" s="2"/>
      <c r="O352" s="2"/>
      <c r="P352" s="2"/>
      <c r="Q352" s="2"/>
      <c r="R352" s="2"/>
      <c r="S352" s="2"/>
    </row>
    <row r="353" spans="9:19" ht="14.25" customHeight="1">
      <c r="I353" s="2"/>
      <c r="J353" s="2"/>
      <c r="K353" s="2"/>
      <c r="L353" s="2"/>
      <c r="M353" s="2"/>
      <c r="N353" s="2"/>
      <c r="O353" s="2"/>
      <c r="P353" s="2"/>
      <c r="Q353" s="2"/>
      <c r="R353" s="2"/>
      <c r="S353" s="2"/>
    </row>
    <row r="354" spans="9:19" ht="14.25" customHeight="1">
      <c r="I354" s="2"/>
      <c r="J354" s="2"/>
      <c r="K354" s="2"/>
      <c r="L354" s="2"/>
      <c r="M354" s="2"/>
      <c r="N354" s="2"/>
      <c r="O354" s="2"/>
      <c r="P354" s="2"/>
      <c r="Q354" s="2"/>
      <c r="R354" s="2"/>
      <c r="S354" s="2"/>
    </row>
    <row r="355" spans="9:19" ht="14.25" customHeight="1">
      <c r="I355" s="2"/>
      <c r="J355" s="2"/>
      <c r="K355" s="2"/>
      <c r="L355" s="2"/>
      <c r="M355" s="2"/>
      <c r="N355" s="2"/>
      <c r="O355" s="2"/>
      <c r="P355" s="2"/>
      <c r="Q355" s="2"/>
      <c r="R355" s="2"/>
      <c r="S355" s="2"/>
    </row>
    <row r="356" spans="9:19" ht="14.25" customHeight="1">
      <c r="I356" s="2"/>
      <c r="J356" s="2"/>
      <c r="K356" s="2"/>
      <c r="L356" s="2"/>
      <c r="M356" s="2"/>
      <c r="N356" s="2"/>
      <c r="O356" s="2"/>
      <c r="P356" s="2"/>
      <c r="Q356" s="2"/>
      <c r="R356" s="2"/>
      <c r="S356" s="2"/>
    </row>
    <row r="357" spans="9:19" ht="14.25" customHeight="1">
      <c r="I357" s="2"/>
      <c r="J357" s="2"/>
      <c r="K357" s="2"/>
      <c r="L357" s="2"/>
      <c r="M357" s="2"/>
      <c r="N357" s="2"/>
      <c r="O357" s="2"/>
      <c r="P357" s="2"/>
      <c r="Q357" s="2"/>
      <c r="R357" s="2"/>
      <c r="S357" s="2"/>
    </row>
    <row r="358" spans="9:19" ht="14.25" customHeight="1">
      <c r="I358" s="2"/>
      <c r="J358" s="2"/>
      <c r="K358" s="2"/>
      <c r="L358" s="2"/>
      <c r="M358" s="2"/>
      <c r="N358" s="2"/>
      <c r="O358" s="2"/>
      <c r="P358" s="2"/>
      <c r="Q358" s="2"/>
      <c r="R358" s="2"/>
      <c r="S358" s="2"/>
    </row>
    <row r="359" spans="9:19" ht="14.25" customHeight="1">
      <c r="I359" s="2"/>
      <c r="J359" s="2"/>
      <c r="K359" s="2"/>
      <c r="L359" s="2"/>
      <c r="M359" s="2"/>
      <c r="N359" s="2"/>
      <c r="O359" s="2"/>
      <c r="P359" s="2"/>
      <c r="Q359" s="2"/>
      <c r="R359" s="2"/>
      <c r="S359" s="2"/>
    </row>
    <row r="360" spans="9:19" ht="14.25" customHeight="1">
      <c r="I360" s="2"/>
      <c r="J360" s="2"/>
      <c r="K360" s="2"/>
      <c r="L360" s="2"/>
      <c r="M360" s="2"/>
      <c r="N360" s="2"/>
      <c r="O360" s="2"/>
      <c r="P360" s="2"/>
      <c r="Q360" s="2"/>
      <c r="R360" s="2"/>
      <c r="S360" s="2"/>
    </row>
    <row r="361" spans="9:19" ht="14.25" customHeight="1">
      <c r="I361" s="2"/>
      <c r="J361" s="2"/>
      <c r="K361" s="2"/>
      <c r="L361" s="2"/>
      <c r="M361" s="2"/>
      <c r="N361" s="2"/>
      <c r="O361" s="2"/>
      <c r="P361" s="2"/>
      <c r="Q361" s="2"/>
      <c r="R361" s="2"/>
      <c r="S361" s="2"/>
    </row>
    <row r="362" spans="9:19" ht="14.25" customHeight="1">
      <c r="I362" s="2"/>
      <c r="J362" s="2"/>
      <c r="K362" s="2"/>
      <c r="L362" s="2"/>
      <c r="M362" s="2"/>
      <c r="N362" s="2"/>
      <c r="O362" s="2"/>
      <c r="P362" s="2"/>
      <c r="Q362" s="2"/>
      <c r="R362" s="2"/>
      <c r="S362" s="2"/>
    </row>
    <row r="363" spans="9:19" ht="14.25" customHeight="1">
      <c r="I363" s="2"/>
      <c r="J363" s="2"/>
      <c r="K363" s="2"/>
      <c r="L363" s="2"/>
      <c r="M363" s="2"/>
      <c r="N363" s="2"/>
      <c r="O363" s="2"/>
      <c r="P363" s="2"/>
      <c r="Q363" s="2"/>
      <c r="R363" s="2"/>
      <c r="S363" s="2"/>
    </row>
    <row r="364" spans="9:19" ht="14.25" customHeight="1">
      <c r="I364" s="2"/>
      <c r="J364" s="2"/>
      <c r="K364" s="2"/>
      <c r="L364" s="2"/>
      <c r="M364" s="2"/>
      <c r="N364" s="2"/>
      <c r="O364" s="2"/>
      <c r="P364" s="2"/>
      <c r="Q364" s="2"/>
      <c r="R364" s="2"/>
      <c r="S364" s="2"/>
    </row>
    <row r="365" spans="9:19" ht="14.25" customHeight="1">
      <c r="I365" s="2"/>
      <c r="J365" s="2"/>
      <c r="K365" s="2"/>
      <c r="L365" s="2"/>
      <c r="M365" s="2"/>
      <c r="N365" s="2"/>
      <c r="O365" s="2"/>
      <c r="P365" s="2"/>
      <c r="Q365" s="2"/>
      <c r="R365" s="2"/>
      <c r="S365" s="2"/>
    </row>
    <row r="366" spans="9:19" ht="14.25" customHeight="1">
      <c r="I366" s="2"/>
      <c r="J366" s="2"/>
      <c r="K366" s="2"/>
      <c r="L366" s="2"/>
      <c r="M366" s="2"/>
      <c r="N366" s="2"/>
      <c r="O366" s="2"/>
      <c r="P366" s="2"/>
      <c r="Q366" s="2"/>
      <c r="R366" s="2"/>
      <c r="S366" s="2"/>
    </row>
    <row r="367" spans="9:19" ht="14.25" customHeight="1">
      <c r="I367" s="2"/>
      <c r="J367" s="2"/>
      <c r="K367" s="2"/>
      <c r="L367" s="2"/>
      <c r="M367" s="2"/>
      <c r="N367" s="2"/>
      <c r="O367" s="2"/>
      <c r="P367" s="2"/>
      <c r="Q367" s="2"/>
      <c r="R367" s="2"/>
      <c r="S367" s="2"/>
    </row>
    <row r="368" spans="9:19" ht="14.25" customHeight="1">
      <c r="I368" s="2"/>
      <c r="J368" s="2"/>
      <c r="K368" s="2"/>
      <c r="L368" s="2"/>
      <c r="M368" s="2"/>
      <c r="N368" s="2"/>
      <c r="O368" s="2"/>
      <c r="P368" s="2"/>
      <c r="Q368" s="2"/>
      <c r="R368" s="2"/>
      <c r="S368" s="2"/>
    </row>
    <row r="369" spans="9:19" ht="14.25" customHeight="1">
      <c r="I369" s="2"/>
      <c r="J369" s="2"/>
      <c r="K369" s="2"/>
      <c r="L369" s="2"/>
      <c r="M369" s="2"/>
      <c r="N369" s="2"/>
      <c r="O369" s="2"/>
      <c r="P369" s="2"/>
      <c r="Q369" s="2"/>
      <c r="R369" s="2"/>
      <c r="S369" s="2"/>
    </row>
    <row r="370" spans="9:19" ht="14.25" customHeight="1">
      <c r="I370" s="2"/>
      <c r="J370" s="2"/>
      <c r="K370" s="2"/>
      <c r="L370" s="2"/>
      <c r="M370" s="2"/>
      <c r="N370" s="2"/>
      <c r="O370" s="2"/>
      <c r="P370" s="2"/>
      <c r="Q370" s="2"/>
      <c r="R370" s="2"/>
      <c r="S370" s="2"/>
    </row>
    <row r="371" spans="9:19" ht="14.25" customHeight="1">
      <c r="I371" s="2"/>
      <c r="J371" s="2"/>
      <c r="K371" s="2"/>
      <c r="L371" s="2"/>
      <c r="M371" s="2"/>
      <c r="N371" s="2"/>
      <c r="O371" s="2"/>
      <c r="P371" s="2"/>
      <c r="Q371" s="2"/>
      <c r="R371" s="2"/>
      <c r="S371" s="2"/>
    </row>
    <row r="372" spans="9:19" ht="14.25" customHeight="1">
      <c r="I372" s="2"/>
      <c r="J372" s="2"/>
      <c r="K372" s="2"/>
      <c r="L372" s="2"/>
      <c r="M372" s="2"/>
      <c r="N372" s="2"/>
      <c r="O372" s="2"/>
      <c r="P372" s="2"/>
      <c r="Q372" s="2"/>
      <c r="R372" s="2"/>
      <c r="S372" s="2"/>
    </row>
    <row r="373" spans="9:19" ht="14.25" customHeight="1">
      <c r="I373" s="2"/>
      <c r="J373" s="2"/>
      <c r="K373" s="2"/>
      <c r="L373" s="2"/>
      <c r="M373" s="2"/>
      <c r="N373" s="2"/>
      <c r="O373" s="2"/>
      <c r="P373" s="2"/>
      <c r="Q373" s="2"/>
      <c r="R373" s="2"/>
      <c r="S373" s="2"/>
    </row>
    <row r="374" spans="9:19" ht="14.25" customHeight="1">
      <c r="I374" s="2"/>
      <c r="J374" s="2"/>
      <c r="K374" s="2"/>
      <c r="L374" s="2"/>
      <c r="M374" s="2"/>
      <c r="N374" s="2"/>
      <c r="O374" s="2"/>
      <c r="P374" s="2"/>
      <c r="Q374" s="2"/>
      <c r="R374" s="2"/>
      <c r="S374" s="2"/>
    </row>
    <row r="375" spans="9:19" ht="14.25" customHeight="1">
      <c r="I375" s="2"/>
      <c r="J375" s="2"/>
      <c r="K375" s="2"/>
      <c r="L375" s="2"/>
      <c r="M375" s="2"/>
      <c r="N375" s="2"/>
      <c r="O375" s="2"/>
      <c r="P375" s="2"/>
      <c r="Q375" s="2"/>
      <c r="R375" s="2"/>
      <c r="S375" s="2"/>
    </row>
    <row r="376" spans="9:19" ht="14.25" customHeight="1">
      <c r="I376" s="2"/>
      <c r="J376" s="2"/>
      <c r="K376" s="2"/>
      <c r="L376" s="2"/>
      <c r="M376" s="2"/>
      <c r="N376" s="2"/>
      <c r="O376" s="2"/>
      <c r="P376" s="2"/>
      <c r="Q376" s="2"/>
      <c r="R376" s="2"/>
      <c r="S376" s="2"/>
    </row>
    <row r="377" spans="9:19" ht="14.25" customHeight="1">
      <c r="I377" s="2"/>
      <c r="J377" s="2"/>
      <c r="K377" s="2"/>
      <c r="L377" s="2"/>
      <c r="M377" s="2"/>
      <c r="N377" s="2"/>
      <c r="O377" s="2"/>
      <c r="P377" s="2"/>
      <c r="Q377" s="2"/>
      <c r="R377" s="2"/>
      <c r="S377" s="2"/>
    </row>
    <row r="378" spans="9:19" ht="14.25" customHeight="1">
      <c r="I378" s="2"/>
      <c r="J378" s="2"/>
      <c r="K378" s="2"/>
      <c r="L378" s="2"/>
      <c r="M378" s="2"/>
      <c r="N378" s="2"/>
      <c r="O378" s="2"/>
      <c r="P378" s="2"/>
      <c r="Q378" s="2"/>
      <c r="R378" s="2"/>
      <c r="S378" s="2"/>
    </row>
    <row r="379" spans="9:19" ht="14.25" customHeight="1">
      <c r="I379" s="2"/>
      <c r="J379" s="2"/>
      <c r="K379" s="2"/>
      <c r="L379" s="2"/>
      <c r="M379" s="2"/>
      <c r="N379" s="2"/>
      <c r="O379" s="2"/>
      <c r="P379" s="2"/>
      <c r="Q379" s="2"/>
      <c r="R379" s="2"/>
      <c r="S379" s="2"/>
    </row>
    <row r="380" spans="9:19" ht="14.25" customHeight="1">
      <c r="I380" s="2"/>
      <c r="J380" s="2"/>
      <c r="K380" s="2"/>
      <c r="L380" s="2"/>
      <c r="M380" s="2"/>
      <c r="N380" s="2"/>
      <c r="O380" s="2"/>
      <c r="P380" s="2"/>
      <c r="Q380" s="2"/>
      <c r="R380" s="2"/>
      <c r="S380" s="2"/>
    </row>
    <row r="381" spans="9:19" ht="14.25" customHeight="1">
      <c r="I381" s="2"/>
      <c r="J381" s="2"/>
      <c r="K381" s="2"/>
      <c r="L381" s="2"/>
      <c r="M381" s="2"/>
      <c r="N381" s="2"/>
      <c r="O381" s="2"/>
      <c r="P381" s="2"/>
      <c r="Q381" s="2"/>
      <c r="R381" s="2"/>
      <c r="S381" s="2"/>
    </row>
    <row r="382" spans="9:19" ht="14.25" customHeight="1">
      <c r="I382" s="2"/>
      <c r="J382" s="2"/>
      <c r="K382" s="2"/>
      <c r="L382" s="2"/>
      <c r="M382" s="2"/>
      <c r="N382" s="2"/>
      <c r="O382" s="2"/>
      <c r="P382" s="2"/>
      <c r="Q382" s="2"/>
      <c r="R382" s="2"/>
      <c r="S382" s="2"/>
    </row>
    <row r="383" spans="9:19" ht="14.25" customHeight="1">
      <c r="I383" s="2"/>
      <c r="J383" s="2"/>
      <c r="K383" s="2"/>
      <c r="L383" s="2"/>
      <c r="M383" s="2"/>
      <c r="N383" s="2"/>
      <c r="O383" s="2"/>
      <c r="P383" s="2"/>
      <c r="Q383" s="2"/>
      <c r="R383" s="2"/>
      <c r="S383" s="2"/>
    </row>
    <row r="384" spans="9:19" ht="14.25" customHeight="1">
      <c r="I384" s="2"/>
      <c r="J384" s="2"/>
      <c r="K384" s="2"/>
      <c r="L384" s="2"/>
      <c r="M384" s="2"/>
      <c r="N384" s="2"/>
      <c r="O384" s="2"/>
      <c r="P384" s="2"/>
      <c r="Q384" s="2"/>
      <c r="R384" s="2"/>
      <c r="S384" s="2"/>
    </row>
    <row r="385" spans="9:19" ht="14.25" customHeight="1">
      <c r="I385" s="2"/>
      <c r="J385" s="2"/>
      <c r="K385" s="2"/>
      <c r="L385" s="2"/>
      <c r="M385" s="2"/>
      <c r="N385" s="2"/>
      <c r="O385" s="2"/>
      <c r="P385" s="2"/>
      <c r="Q385" s="2"/>
      <c r="R385" s="2"/>
      <c r="S385" s="2"/>
    </row>
    <row r="386" spans="9:19" ht="14.25" customHeight="1">
      <c r="I386" s="2"/>
      <c r="J386" s="2"/>
      <c r="K386" s="2"/>
      <c r="L386" s="2"/>
      <c r="M386" s="2"/>
      <c r="N386" s="2"/>
      <c r="O386" s="2"/>
      <c r="P386" s="2"/>
      <c r="Q386" s="2"/>
      <c r="R386" s="2"/>
      <c r="S386" s="2"/>
    </row>
    <row r="387" spans="9:19" ht="14.25" customHeight="1">
      <c r="I387" s="2"/>
      <c r="J387" s="2"/>
      <c r="K387" s="2"/>
      <c r="L387" s="2"/>
      <c r="M387" s="2"/>
      <c r="N387" s="2"/>
      <c r="O387" s="2"/>
      <c r="P387" s="2"/>
      <c r="Q387" s="2"/>
      <c r="R387" s="2"/>
      <c r="S387" s="2"/>
    </row>
    <row r="388" spans="9:19" ht="14.25" customHeight="1">
      <c r="I388" s="2"/>
      <c r="J388" s="2"/>
      <c r="K388" s="2"/>
      <c r="L388" s="2"/>
      <c r="M388" s="2"/>
      <c r="N388" s="2"/>
      <c r="O388" s="2"/>
      <c r="P388" s="2"/>
      <c r="Q388" s="2"/>
      <c r="R388" s="2"/>
      <c r="S388" s="2"/>
    </row>
    <row r="389" spans="9:19" ht="14.25" customHeight="1">
      <c r="I389" s="2"/>
      <c r="J389" s="2"/>
      <c r="K389" s="2"/>
      <c r="L389" s="2"/>
      <c r="M389" s="2"/>
      <c r="N389" s="2"/>
      <c r="O389" s="2"/>
      <c r="P389" s="2"/>
      <c r="Q389" s="2"/>
      <c r="R389" s="2"/>
      <c r="S389" s="2"/>
    </row>
    <row r="390" spans="9:19" ht="14.25" customHeight="1">
      <c r="I390" s="2"/>
      <c r="J390" s="2"/>
      <c r="K390" s="2"/>
      <c r="L390" s="2"/>
      <c r="M390" s="2"/>
      <c r="N390" s="2"/>
      <c r="O390" s="2"/>
      <c r="P390" s="2"/>
      <c r="Q390" s="2"/>
      <c r="R390" s="2"/>
      <c r="S390" s="2"/>
    </row>
    <row r="391" spans="9:19" ht="14.25" customHeight="1">
      <c r="I391" s="2"/>
      <c r="J391" s="2"/>
      <c r="K391" s="2"/>
      <c r="L391" s="2"/>
      <c r="M391" s="2"/>
      <c r="N391" s="2"/>
      <c r="O391" s="2"/>
      <c r="P391" s="2"/>
      <c r="Q391" s="2"/>
      <c r="R391" s="2"/>
      <c r="S391" s="2"/>
    </row>
    <row r="392" spans="9:19" ht="14.25" customHeight="1">
      <c r="I392" s="2"/>
      <c r="J392" s="2"/>
      <c r="K392" s="2"/>
      <c r="L392" s="2"/>
      <c r="M392" s="2"/>
      <c r="N392" s="2"/>
      <c r="O392" s="2"/>
      <c r="P392" s="2"/>
      <c r="Q392" s="2"/>
      <c r="R392" s="2"/>
      <c r="S392" s="2"/>
    </row>
    <row r="393" spans="9:19" ht="14.25" customHeight="1">
      <c r="I393" s="2"/>
      <c r="J393" s="2"/>
      <c r="K393" s="2"/>
      <c r="L393" s="2"/>
      <c r="M393" s="2"/>
      <c r="N393" s="2"/>
      <c r="O393" s="2"/>
      <c r="P393" s="2"/>
      <c r="Q393" s="2"/>
      <c r="R393" s="2"/>
      <c r="S393" s="2"/>
    </row>
    <row r="394" spans="9:19" ht="14.25" customHeight="1">
      <c r="I394" s="2"/>
      <c r="J394" s="2"/>
      <c r="K394" s="2"/>
      <c r="L394" s="2"/>
      <c r="M394" s="2"/>
      <c r="N394" s="2"/>
      <c r="O394" s="2"/>
      <c r="P394" s="2"/>
      <c r="Q394" s="2"/>
      <c r="R394" s="2"/>
      <c r="S394" s="2"/>
    </row>
    <row r="395" spans="9:19" ht="14.25" customHeight="1">
      <c r="I395" s="2"/>
      <c r="J395" s="2"/>
      <c r="K395" s="2"/>
      <c r="L395" s="2"/>
      <c r="M395" s="2"/>
      <c r="N395" s="2"/>
      <c r="O395" s="2"/>
      <c r="P395" s="2"/>
      <c r="Q395" s="2"/>
      <c r="R395" s="2"/>
      <c r="S395" s="2"/>
    </row>
    <row r="396" spans="9:19" ht="14.25" customHeight="1">
      <c r="I396" s="2"/>
      <c r="J396" s="2"/>
      <c r="K396" s="2"/>
      <c r="L396" s="2"/>
      <c r="M396" s="2"/>
      <c r="N396" s="2"/>
      <c r="O396" s="2"/>
      <c r="P396" s="2"/>
      <c r="Q396" s="2"/>
      <c r="R396" s="2"/>
      <c r="S396" s="2"/>
    </row>
    <row r="397" spans="9:19" ht="14.25" customHeight="1">
      <c r="I397" s="2"/>
      <c r="J397" s="2"/>
      <c r="K397" s="2"/>
      <c r="L397" s="2"/>
      <c r="M397" s="2"/>
      <c r="N397" s="2"/>
      <c r="O397" s="2"/>
      <c r="P397" s="2"/>
      <c r="Q397" s="2"/>
      <c r="R397" s="2"/>
      <c r="S397" s="2"/>
    </row>
    <row r="398" spans="9:19" ht="14.25" customHeight="1">
      <c r="I398" s="2"/>
      <c r="J398" s="2"/>
      <c r="K398" s="2"/>
      <c r="L398" s="2"/>
      <c r="M398" s="2"/>
      <c r="N398" s="2"/>
      <c r="O398" s="2"/>
      <c r="P398" s="2"/>
      <c r="Q398" s="2"/>
      <c r="R398" s="2"/>
      <c r="S398" s="2"/>
    </row>
    <row r="399" spans="9:19" ht="14.25" customHeight="1">
      <c r="I399" s="2"/>
      <c r="J399" s="2"/>
      <c r="K399" s="2"/>
      <c r="L399" s="2"/>
      <c r="M399" s="2"/>
      <c r="N399" s="2"/>
      <c r="O399" s="2"/>
      <c r="P399" s="2"/>
      <c r="Q399" s="2"/>
      <c r="R399" s="2"/>
      <c r="S399" s="2"/>
    </row>
    <row r="400" spans="9:19" ht="14.25" customHeight="1">
      <c r="I400" s="2"/>
      <c r="J400" s="2"/>
      <c r="K400" s="2"/>
      <c r="L400" s="2"/>
      <c r="M400" s="2"/>
      <c r="N400" s="2"/>
      <c r="O400" s="2"/>
      <c r="P400" s="2"/>
      <c r="Q400" s="2"/>
      <c r="R400" s="2"/>
      <c r="S400" s="2"/>
    </row>
    <row r="401" spans="9:19" ht="14.25" customHeight="1">
      <c r="I401" s="2"/>
      <c r="J401" s="2"/>
      <c r="K401" s="2"/>
      <c r="L401" s="2"/>
      <c r="M401" s="2"/>
      <c r="N401" s="2"/>
      <c r="O401" s="2"/>
      <c r="P401" s="2"/>
      <c r="Q401" s="2"/>
      <c r="R401" s="2"/>
      <c r="S401" s="2"/>
    </row>
    <row r="402" spans="9:19" ht="14.25" customHeight="1">
      <c r="I402" s="2"/>
      <c r="J402" s="2"/>
      <c r="K402" s="2"/>
      <c r="L402" s="2"/>
      <c r="M402" s="2"/>
      <c r="N402" s="2"/>
      <c r="O402" s="2"/>
      <c r="P402" s="2"/>
      <c r="Q402" s="2"/>
      <c r="R402" s="2"/>
      <c r="S402" s="2"/>
    </row>
    <row r="403" spans="9:19" ht="14.25" customHeight="1">
      <c r="I403" s="2"/>
      <c r="J403" s="2"/>
      <c r="K403" s="2"/>
      <c r="L403" s="2"/>
      <c r="M403" s="2"/>
      <c r="N403" s="2"/>
      <c r="O403" s="2"/>
      <c r="P403" s="2"/>
      <c r="Q403" s="2"/>
      <c r="R403" s="2"/>
      <c r="S403" s="2"/>
    </row>
    <row r="404" spans="9:19" ht="14.25" customHeight="1">
      <c r="I404" s="2"/>
      <c r="J404" s="2"/>
      <c r="K404" s="2"/>
      <c r="L404" s="2"/>
      <c r="M404" s="2"/>
      <c r="N404" s="2"/>
      <c r="O404" s="2"/>
      <c r="P404" s="2"/>
      <c r="Q404" s="2"/>
      <c r="R404" s="2"/>
      <c r="S404" s="2"/>
    </row>
    <row r="405" spans="9:19" ht="14.25" customHeight="1">
      <c r="I405" s="2"/>
      <c r="J405" s="2"/>
      <c r="K405" s="2"/>
      <c r="L405" s="2"/>
      <c r="M405" s="2"/>
      <c r="N405" s="2"/>
      <c r="O405" s="2"/>
      <c r="P405" s="2"/>
      <c r="Q405" s="2"/>
      <c r="R405" s="2"/>
      <c r="S405" s="2"/>
    </row>
    <row r="406" spans="9:19" ht="14.25" customHeight="1">
      <c r="I406" s="2"/>
      <c r="J406" s="2"/>
      <c r="K406" s="2"/>
      <c r="L406" s="2"/>
      <c r="M406" s="2"/>
      <c r="N406" s="2"/>
      <c r="O406" s="2"/>
      <c r="P406" s="2"/>
      <c r="Q406" s="2"/>
      <c r="R406" s="2"/>
      <c r="S406" s="2"/>
    </row>
    <row r="407" spans="9:19" ht="14.25" customHeight="1">
      <c r="I407" s="2"/>
      <c r="J407" s="2"/>
      <c r="K407" s="2"/>
      <c r="L407" s="2"/>
      <c r="M407" s="2"/>
      <c r="N407" s="2"/>
      <c r="O407" s="2"/>
      <c r="P407" s="2"/>
      <c r="Q407" s="2"/>
      <c r="R407" s="2"/>
      <c r="S407" s="2"/>
    </row>
    <row r="408" spans="9:19" ht="14.25" customHeight="1">
      <c r="I408" s="2"/>
      <c r="J408" s="2"/>
      <c r="K408" s="2"/>
      <c r="L408" s="2"/>
      <c r="M408" s="2"/>
      <c r="N408" s="2"/>
      <c r="O408" s="2"/>
      <c r="P408" s="2"/>
      <c r="Q408" s="2"/>
      <c r="R408" s="2"/>
      <c r="S408" s="2"/>
    </row>
    <row r="409" spans="9:19" ht="14.25" customHeight="1">
      <c r="I409" s="2"/>
      <c r="J409" s="2"/>
      <c r="K409" s="2"/>
      <c r="L409" s="2"/>
      <c r="M409" s="2"/>
      <c r="N409" s="2"/>
      <c r="O409" s="2"/>
      <c r="P409" s="2"/>
      <c r="Q409" s="2"/>
      <c r="R409" s="2"/>
      <c r="S409" s="2"/>
    </row>
    <row r="410" spans="9:19" ht="14.25" customHeight="1">
      <c r="I410" s="2"/>
      <c r="J410" s="2"/>
      <c r="K410" s="2"/>
      <c r="L410" s="2"/>
      <c r="M410" s="2"/>
      <c r="N410" s="2"/>
      <c r="O410" s="2"/>
      <c r="P410" s="2"/>
      <c r="Q410" s="2"/>
      <c r="R410" s="2"/>
      <c r="S410" s="2"/>
    </row>
    <row r="411" spans="9:19" ht="14.25" customHeight="1">
      <c r="I411" s="2"/>
      <c r="J411" s="2"/>
      <c r="K411" s="2"/>
      <c r="L411" s="2"/>
      <c r="M411" s="2"/>
      <c r="N411" s="2"/>
      <c r="O411" s="2"/>
      <c r="P411" s="2"/>
      <c r="Q411" s="2"/>
      <c r="R411" s="2"/>
      <c r="S411" s="2"/>
    </row>
    <row r="412" spans="9:19" ht="14.25" customHeight="1">
      <c r="I412" s="2"/>
      <c r="J412" s="2"/>
      <c r="K412" s="2"/>
      <c r="L412" s="2"/>
      <c r="M412" s="2"/>
      <c r="N412" s="2"/>
      <c r="O412" s="2"/>
      <c r="P412" s="2"/>
      <c r="Q412" s="2"/>
      <c r="R412" s="2"/>
      <c r="S412" s="2"/>
    </row>
    <row r="413" spans="9:19" ht="14.25" customHeight="1">
      <c r="I413" s="2"/>
      <c r="J413" s="2"/>
      <c r="K413" s="2"/>
      <c r="L413" s="2"/>
      <c r="M413" s="2"/>
      <c r="N413" s="2"/>
      <c r="O413" s="2"/>
      <c r="P413" s="2"/>
      <c r="Q413" s="2"/>
      <c r="R413" s="2"/>
      <c r="S413" s="2"/>
    </row>
    <row r="414" spans="9:19" ht="14.25" customHeight="1">
      <c r="I414" s="2"/>
      <c r="J414" s="2"/>
      <c r="K414" s="2"/>
      <c r="L414" s="2"/>
      <c r="M414" s="2"/>
      <c r="N414" s="2"/>
      <c r="O414" s="2"/>
      <c r="P414" s="2"/>
      <c r="Q414" s="2"/>
      <c r="R414" s="2"/>
      <c r="S414" s="2"/>
    </row>
    <row r="415" spans="9:19" ht="14.25" customHeight="1">
      <c r="I415" s="2"/>
      <c r="J415" s="2"/>
      <c r="K415" s="2"/>
      <c r="L415" s="2"/>
      <c r="M415" s="2"/>
      <c r="N415" s="2"/>
      <c r="O415" s="2"/>
      <c r="P415" s="2"/>
      <c r="Q415" s="2"/>
      <c r="R415" s="2"/>
      <c r="S415" s="2"/>
    </row>
    <row r="416" spans="9:19" ht="14.25" customHeight="1">
      <c r="I416" s="2"/>
      <c r="J416" s="2"/>
      <c r="K416" s="2"/>
      <c r="L416" s="2"/>
      <c r="M416" s="2"/>
      <c r="N416" s="2"/>
      <c r="O416" s="2"/>
      <c r="P416" s="2"/>
      <c r="Q416" s="2"/>
      <c r="R416" s="2"/>
      <c r="S416" s="2"/>
    </row>
    <row r="417" spans="9:19" ht="14.25" customHeight="1">
      <c r="I417" s="2"/>
      <c r="J417" s="2"/>
      <c r="K417" s="2"/>
      <c r="L417" s="2"/>
      <c r="M417" s="2"/>
      <c r="N417" s="2"/>
      <c r="O417" s="2"/>
      <c r="P417" s="2"/>
      <c r="Q417" s="2"/>
      <c r="R417" s="2"/>
      <c r="S417" s="2"/>
    </row>
    <row r="418" spans="9:19" ht="14.25" customHeight="1">
      <c r="I418" s="2"/>
      <c r="J418" s="2"/>
      <c r="K418" s="2"/>
      <c r="L418" s="2"/>
      <c r="M418" s="2"/>
      <c r="N418" s="2"/>
      <c r="O418" s="2"/>
      <c r="P418" s="2"/>
      <c r="Q418" s="2"/>
      <c r="R418" s="2"/>
      <c r="S418" s="2"/>
    </row>
    <row r="419" spans="9:19" ht="14.25" customHeight="1">
      <c r="I419" s="2"/>
      <c r="J419" s="2"/>
      <c r="K419" s="2"/>
      <c r="L419" s="2"/>
      <c r="M419" s="2"/>
      <c r="N419" s="2"/>
      <c r="O419" s="2"/>
      <c r="P419" s="2"/>
      <c r="Q419" s="2"/>
      <c r="R419" s="2"/>
      <c r="S419" s="2"/>
    </row>
    <row r="420" spans="9:19" ht="14.25" customHeight="1">
      <c r="I420" s="2"/>
      <c r="J420" s="2"/>
      <c r="K420" s="2"/>
      <c r="L420" s="2"/>
      <c r="M420" s="2"/>
      <c r="N420" s="2"/>
      <c r="O420" s="2"/>
      <c r="P420" s="2"/>
      <c r="Q420" s="2"/>
      <c r="R420" s="2"/>
      <c r="S420" s="2"/>
    </row>
    <row r="421" spans="9:19" ht="14.25" customHeight="1">
      <c r="I421" s="2"/>
      <c r="J421" s="2"/>
      <c r="K421" s="2"/>
      <c r="L421" s="2"/>
      <c r="M421" s="2"/>
      <c r="N421" s="2"/>
      <c r="O421" s="2"/>
      <c r="P421" s="2"/>
      <c r="Q421" s="2"/>
      <c r="R421" s="2"/>
      <c r="S421" s="2"/>
    </row>
    <row r="422" spans="9:19" ht="14.25" customHeight="1">
      <c r="I422" s="2"/>
      <c r="J422" s="2"/>
      <c r="K422" s="2"/>
      <c r="L422" s="2"/>
      <c r="M422" s="2"/>
      <c r="N422" s="2"/>
      <c r="O422" s="2"/>
      <c r="P422" s="2"/>
      <c r="Q422" s="2"/>
      <c r="R422" s="2"/>
      <c r="S422" s="2"/>
    </row>
    <row r="423" spans="9:19" ht="14.25" customHeight="1">
      <c r="I423" s="2"/>
      <c r="J423" s="2"/>
      <c r="K423" s="2"/>
      <c r="L423" s="2"/>
      <c r="M423" s="2"/>
      <c r="N423" s="2"/>
      <c r="O423" s="2"/>
      <c r="P423" s="2"/>
      <c r="Q423" s="2"/>
      <c r="R423" s="2"/>
      <c r="S423" s="2"/>
    </row>
    <row r="424" spans="9:19" ht="14.25" customHeight="1">
      <c r="I424" s="2"/>
      <c r="J424" s="2"/>
      <c r="K424" s="2"/>
      <c r="L424" s="2"/>
      <c r="M424" s="2"/>
      <c r="N424" s="2"/>
      <c r="O424" s="2"/>
      <c r="P424" s="2"/>
      <c r="Q424" s="2"/>
      <c r="R424" s="2"/>
      <c r="S424" s="2"/>
    </row>
    <row r="425" spans="9:19" ht="14.25" customHeight="1">
      <c r="I425" s="2"/>
      <c r="J425" s="2"/>
      <c r="K425" s="2"/>
      <c r="L425" s="2"/>
      <c r="M425" s="2"/>
      <c r="N425" s="2"/>
      <c r="O425" s="2"/>
      <c r="P425" s="2"/>
      <c r="Q425" s="2"/>
      <c r="R425" s="2"/>
      <c r="S425" s="2"/>
    </row>
    <row r="426" spans="9:19" ht="14.25" customHeight="1">
      <c r="I426" s="2"/>
      <c r="J426" s="2"/>
      <c r="K426" s="2"/>
      <c r="L426" s="2"/>
      <c r="M426" s="2"/>
      <c r="N426" s="2"/>
      <c r="O426" s="2"/>
      <c r="P426" s="2"/>
      <c r="Q426" s="2"/>
      <c r="R426" s="2"/>
      <c r="S426" s="2"/>
    </row>
    <row r="427" spans="9:19" ht="14.25" customHeight="1">
      <c r="I427" s="2"/>
      <c r="J427" s="2"/>
      <c r="K427" s="2"/>
      <c r="L427" s="2"/>
      <c r="M427" s="2"/>
      <c r="N427" s="2"/>
      <c r="O427" s="2"/>
      <c r="P427" s="2"/>
      <c r="Q427" s="2"/>
      <c r="R427" s="2"/>
      <c r="S427" s="2"/>
    </row>
    <row r="428" spans="9:19" ht="14.25" customHeight="1">
      <c r="I428" s="2"/>
      <c r="J428" s="2"/>
      <c r="K428" s="2"/>
      <c r="L428" s="2"/>
      <c r="M428" s="2"/>
      <c r="N428" s="2"/>
      <c r="O428" s="2"/>
      <c r="P428" s="2"/>
      <c r="Q428" s="2"/>
      <c r="R428" s="2"/>
      <c r="S428" s="2"/>
    </row>
    <row r="429" spans="9:19" ht="14.25" customHeight="1">
      <c r="I429" s="2"/>
      <c r="J429" s="2"/>
      <c r="K429" s="2"/>
      <c r="L429" s="2"/>
      <c r="M429" s="2"/>
      <c r="N429" s="2"/>
      <c r="O429" s="2"/>
      <c r="P429" s="2"/>
      <c r="Q429" s="2"/>
      <c r="R429" s="2"/>
      <c r="S429" s="2"/>
    </row>
    <row r="430" spans="9:19" ht="14.25" customHeight="1">
      <c r="I430" s="2"/>
      <c r="J430" s="2"/>
      <c r="K430" s="2"/>
      <c r="L430" s="2"/>
      <c r="M430" s="2"/>
      <c r="N430" s="2"/>
      <c r="O430" s="2"/>
      <c r="P430" s="2"/>
      <c r="Q430" s="2"/>
      <c r="R430" s="2"/>
      <c r="S430" s="2"/>
    </row>
    <row r="431" spans="9:19" ht="14.25" customHeight="1">
      <c r="I431" s="2"/>
      <c r="J431" s="2"/>
      <c r="K431" s="2"/>
      <c r="L431" s="2"/>
      <c r="M431" s="2"/>
      <c r="N431" s="2"/>
      <c r="O431" s="2"/>
      <c r="P431" s="2"/>
      <c r="Q431" s="2"/>
      <c r="R431" s="2"/>
      <c r="S431" s="2"/>
    </row>
    <row r="432" spans="9:19" ht="14.25" customHeight="1">
      <c r="I432" s="2"/>
      <c r="J432" s="2"/>
      <c r="K432" s="2"/>
      <c r="L432" s="2"/>
      <c r="M432" s="2"/>
      <c r="N432" s="2"/>
      <c r="O432" s="2"/>
      <c r="P432" s="2"/>
      <c r="Q432" s="2"/>
      <c r="R432" s="2"/>
      <c r="S432" s="2"/>
    </row>
    <row r="433" spans="9:19" ht="14.25" customHeight="1">
      <c r="I433" s="2"/>
      <c r="J433" s="2"/>
      <c r="K433" s="2"/>
      <c r="L433" s="2"/>
      <c r="M433" s="2"/>
      <c r="N433" s="2"/>
      <c r="O433" s="2"/>
      <c r="P433" s="2"/>
      <c r="Q433" s="2"/>
      <c r="R433" s="2"/>
      <c r="S433" s="2"/>
    </row>
    <row r="434" spans="9:19" ht="14.25" customHeight="1">
      <c r="I434" s="2"/>
      <c r="J434" s="2"/>
      <c r="K434" s="2"/>
      <c r="L434" s="2"/>
      <c r="M434" s="2"/>
      <c r="N434" s="2"/>
      <c r="O434" s="2"/>
      <c r="P434" s="2"/>
      <c r="Q434" s="2"/>
      <c r="R434" s="2"/>
      <c r="S434" s="2"/>
    </row>
    <row r="435" spans="9:19" ht="14.25" customHeight="1">
      <c r="I435" s="2"/>
      <c r="J435" s="2"/>
      <c r="K435" s="2"/>
      <c r="L435" s="2"/>
      <c r="M435" s="2"/>
      <c r="N435" s="2"/>
      <c r="O435" s="2"/>
      <c r="P435" s="2"/>
      <c r="Q435" s="2"/>
      <c r="R435" s="2"/>
      <c r="S435" s="2"/>
    </row>
    <row r="436" spans="9:19" ht="14.25" customHeight="1">
      <c r="I436" s="2"/>
      <c r="J436" s="2"/>
      <c r="K436" s="2"/>
      <c r="L436" s="2"/>
      <c r="M436" s="2"/>
      <c r="N436" s="2"/>
      <c r="O436" s="2"/>
      <c r="P436" s="2"/>
      <c r="Q436" s="2"/>
      <c r="R436" s="2"/>
      <c r="S436" s="2"/>
    </row>
    <row r="437" spans="9:19" ht="14.25" customHeight="1">
      <c r="I437" s="2"/>
      <c r="J437" s="2"/>
      <c r="K437" s="2"/>
      <c r="L437" s="2"/>
      <c r="M437" s="2"/>
      <c r="N437" s="2"/>
      <c r="O437" s="2"/>
      <c r="P437" s="2"/>
      <c r="Q437" s="2"/>
      <c r="R437" s="2"/>
      <c r="S437" s="2"/>
    </row>
    <row r="438" spans="9:19" ht="14.25" customHeight="1">
      <c r="I438" s="2"/>
      <c r="J438" s="2"/>
      <c r="K438" s="2"/>
      <c r="L438" s="2"/>
      <c r="M438" s="2"/>
      <c r="N438" s="2"/>
      <c r="O438" s="2"/>
      <c r="P438" s="2"/>
      <c r="Q438" s="2"/>
      <c r="R438" s="2"/>
      <c r="S438" s="2"/>
    </row>
    <row r="439" spans="9:19" ht="14.25" customHeight="1">
      <c r="I439" s="2"/>
      <c r="J439" s="2"/>
      <c r="K439" s="2"/>
      <c r="L439" s="2"/>
      <c r="M439" s="2"/>
      <c r="N439" s="2"/>
      <c r="O439" s="2"/>
      <c r="P439" s="2"/>
      <c r="Q439" s="2"/>
      <c r="R439" s="2"/>
      <c r="S439" s="2"/>
    </row>
    <row r="440" spans="9:19" ht="14.25" customHeight="1">
      <c r="I440" s="2"/>
      <c r="J440" s="2"/>
      <c r="K440" s="2"/>
      <c r="L440" s="2"/>
      <c r="M440" s="2"/>
      <c r="N440" s="2"/>
      <c r="O440" s="2"/>
      <c r="P440" s="2"/>
      <c r="Q440" s="2"/>
      <c r="R440" s="2"/>
      <c r="S440" s="2"/>
    </row>
    <row r="441" spans="9:19" ht="14.25" customHeight="1">
      <c r="I441" s="2"/>
      <c r="J441" s="2"/>
      <c r="K441" s="2"/>
      <c r="L441" s="2"/>
      <c r="M441" s="2"/>
      <c r="N441" s="2"/>
      <c r="O441" s="2"/>
      <c r="P441" s="2"/>
      <c r="Q441" s="2"/>
      <c r="R441" s="2"/>
      <c r="S441" s="2"/>
    </row>
    <row r="442" spans="9:19" ht="14.25" customHeight="1">
      <c r="I442" s="2"/>
      <c r="J442" s="2"/>
      <c r="K442" s="2"/>
      <c r="L442" s="2"/>
      <c r="M442" s="2"/>
      <c r="N442" s="2"/>
      <c r="O442" s="2"/>
      <c r="P442" s="2"/>
      <c r="Q442" s="2"/>
      <c r="R442" s="2"/>
      <c r="S442" s="2"/>
    </row>
    <row r="443" spans="9:19" ht="14.25" customHeight="1">
      <c r="I443" s="2"/>
      <c r="J443" s="2"/>
      <c r="K443" s="2"/>
      <c r="L443" s="2"/>
      <c r="M443" s="2"/>
      <c r="N443" s="2"/>
      <c r="O443" s="2"/>
      <c r="P443" s="2"/>
      <c r="Q443" s="2"/>
      <c r="R443" s="2"/>
      <c r="S443" s="2"/>
    </row>
    <row r="444" spans="9:19" ht="14.25" customHeight="1">
      <c r="I444" s="2"/>
      <c r="J444" s="2"/>
      <c r="K444" s="2"/>
      <c r="L444" s="2"/>
      <c r="M444" s="2"/>
      <c r="N444" s="2"/>
      <c r="O444" s="2"/>
      <c r="P444" s="2"/>
      <c r="Q444" s="2"/>
      <c r="R444" s="2"/>
      <c r="S444" s="2"/>
    </row>
    <row r="445" spans="9:19" ht="14.25" customHeight="1">
      <c r="I445" s="2"/>
      <c r="J445" s="2"/>
      <c r="K445" s="2"/>
      <c r="L445" s="2"/>
      <c r="M445" s="2"/>
      <c r="N445" s="2"/>
      <c r="O445" s="2"/>
      <c r="P445" s="2"/>
      <c r="Q445" s="2"/>
      <c r="R445" s="2"/>
      <c r="S445" s="2"/>
    </row>
    <row r="446" spans="9:19" ht="14.25" customHeight="1">
      <c r="I446" s="2"/>
      <c r="J446" s="2"/>
      <c r="K446" s="2"/>
      <c r="L446" s="2"/>
      <c r="M446" s="2"/>
      <c r="N446" s="2"/>
      <c r="O446" s="2"/>
      <c r="P446" s="2"/>
      <c r="Q446" s="2"/>
      <c r="R446" s="2"/>
      <c r="S446" s="2"/>
    </row>
    <row r="447" spans="9:19" ht="14.25" customHeight="1">
      <c r="I447" s="2"/>
      <c r="J447" s="2"/>
      <c r="K447" s="2"/>
      <c r="L447" s="2"/>
      <c r="M447" s="2"/>
      <c r="N447" s="2"/>
      <c r="O447" s="2"/>
      <c r="P447" s="2"/>
      <c r="Q447" s="2"/>
      <c r="R447" s="2"/>
      <c r="S447" s="2"/>
    </row>
    <row r="448" spans="9:19" ht="14.25" customHeight="1">
      <c r="I448" s="2"/>
      <c r="J448" s="2"/>
      <c r="K448" s="2"/>
      <c r="L448" s="2"/>
      <c r="M448" s="2"/>
      <c r="N448" s="2"/>
      <c r="O448" s="2"/>
      <c r="P448" s="2"/>
      <c r="Q448" s="2"/>
      <c r="R448" s="2"/>
      <c r="S448" s="2"/>
    </row>
    <row r="449" spans="9:19" ht="14.25" customHeight="1">
      <c r="I449" s="2"/>
      <c r="J449" s="2"/>
      <c r="K449" s="2"/>
      <c r="L449" s="2"/>
      <c r="M449" s="2"/>
      <c r="N449" s="2"/>
      <c r="O449" s="2"/>
      <c r="P449" s="2"/>
      <c r="Q449" s="2"/>
      <c r="R449" s="2"/>
      <c r="S449" s="2"/>
    </row>
    <row r="450" spans="9:19" ht="14.25" customHeight="1">
      <c r="I450" s="2"/>
      <c r="J450" s="2"/>
      <c r="K450" s="2"/>
      <c r="L450" s="2"/>
      <c r="M450" s="2"/>
      <c r="N450" s="2"/>
      <c r="O450" s="2"/>
      <c r="P450" s="2"/>
      <c r="Q450" s="2"/>
      <c r="R450" s="2"/>
      <c r="S450" s="2"/>
    </row>
    <row r="451" spans="9:19" ht="14.25" customHeight="1">
      <c r="I451" s="2"/>
      <c r="J451" s="2"/>
      <c r="K451" s="2"/>
      <c r="L451" s="2"/>
      <c r="M451" s="2"/>
      <c r="N451" s="2"/>
      <c r="O451" s="2"/>
      <c r="P451" s="2"/>
      <c r="Q451" s="2"/>
      <c r="R451" s="2"/>
      <c r="S451" s="2"/>
    </row>
    <row r="452" spans="9:19" ht="14.25" customHeight="1">
      <c r="I452" s="2"/>
      <c r="J452" s="2"/>
      <c r="K452" s="2"/>
      <c r="L452" s="2"/>
      <c r="M452" s="2"/>
      <c r="N452" s="2"/>
      <c r="O452" s="2"/>
      <c r="P452" s="2"/>
      <c r="Q452" s="2"/>
      <c r="R452" s="2"/>
      <c r="S452" s="2"/>
    </row>
    <row r="453" spans="9:19" ht="14.25" customHeight="1">
      <c r="I453" s="2"/>
      <c r="J453" s="2"/>
      <c r="K453" s="2"/>
      <c r="L453" s="2"/>
      <c r="M453" s="2"/>
      <c r="N453" s="2"/>
      <c r="O453" s="2"/>
      <c r="P453" s="2"/>
      <c r="Q453" s="2"/>
      <c r="R453" s="2"/>
      <c r="S453" s="2"/>
    </row>
    <row r="454" spans="9:19" ht="14.25" customHeight="1">
      <c r="I454" s="2"/>
      <c r="J454" s="2"/>
      <c r="K454" s="2"/>
      <c r="L454" s="2"/>
      <c r="M454" s="2"/>
      <c r="N454" s="2"/>
      <c r="O454" s="2"/>
      <c r="P454" s="2"/>
      <c r="Q454" s="2"/>
      <c r="R454" s="2"/>
      <c r="S454" s="2"/>
    </row>
    <row r="455" spans="9:19" ht="14.25" customHeight="1">
      <c r="I455" s="2"/>
      <c r="J455" s="2"/>
      <c r="K455" s="2"/>
      <c r="L455" s="2"/>
      <c r="M455" s="2"/>
      <c r="N455" s="2"/>
      <c r="O455" s="2"/>
      <c r="P455" s="2"/>
      <c r="Q455" s="2"/>
      <c r="R455" s="2"/>
      <c r="S455" s="2"/>
    </row>
    <row r="456" spans="9:19" ht="14.25" customHeight="1">
      <c r="I456" s="2"/>
      <c r="J456" s="2"/>
      <c r="K456" s="2"/>
      <c r="L456" s="2"/>
      <c r="M456" s="2"/>
      <c r="N456" s="2"/>
      <c r="O456" s="2"/>
      <c r="P456" s="2"/>
      <c r="Q456" s="2"/>
      <c r="R456" s="2"/>
      <c r="S456" s="2"/>
    </row>
    <row r="457" spans="9:19" ht="14.25" customHeight="1">
      <c r="I457" s="2"/>
      <c r="J457" s="2"/>
      <c r="K457" s="2"/>
      <c r="L457" s="2"/>
      <c r="M457" s="2"/>
      <c r="N457" s="2"/>
      <c r="O457" s="2"/>
      <c r="P457" s="2"/>
      <c r="Q457" s="2"/>
      <c r="R457" s="2"/>
      <c r="S457" s="2"/>
    </row>
    <row r="458" spans="9:19" ht="14.25" customHeight="1">
      <c r="I458" s="2"/>
      <c r="J458" s="2"/>
      <c r="K458" s="2"/>
      <c r="L458" s="2"/>
      <c r="M458" s="2"/>
      <c r="N458" s="2"/>
      <c r="O458" s="2"/>
      <c r="P458" s="2"/>
      <c r="Q458" s="2"/>
      <c r="R458" s="2"/>
      <c r="S458" s="2"/>
    </row>
    <row r="459" spans="9:19" ht="14.25" customHeight="1">
      <c r="I459" s="2"/>
      <c r="J459" s="2"/>
      <c r="K459" s="2"/>
      <c r="L459" s="2"/>
      <c r="M459" s="2"/>
      <c r="N459" s="2"/>
      <c r="O459" s="2"/>
      <c r="P459" s="2"/>
      <c r="Q459" s="2"/>
      <c r="R459" s="2"/>
      <c r="S459" s="2"/>
    </row>
    <row r="460" spans="9:19" ht="14.25" customHeight="1">
      <c r="I460" s="2"/>
      <c r="J460" s="2"/>
      <c r="K460" s="2"/>
      <c r="L460" s="2"/>
      <c r="M460" s="2"/>
      <c r="N460" s="2"/>
      <c r="O460" s="2"/>
      <c r="P460" s="2"/>
      <c r="Q460" s="2"/>
      <c r="R460" s="2"/>
      <c r="S460" s="2"/>
    </row>
    <row r="461" spans="9:19" ht="14.25" customHeight="1">
      <c r="I461" s="2"/>
      <c r="J461" s="2"/>
      <c r="K461" s="2"/>
      <c r="L461" s="2"/>
      <c r="M461" s="2"/>
      <c r="N461" s="2"/>
      <c r="O461" s="2"/>
      <c r="P461" s="2"/>
      <c r="Q461" s="2"/>
      <c r="R461" s="2"/>
      <c r="S461" s="2"/>
    </row>
    <row r="462" spans="9:19" ht="14.25" customHeight="1">
      <c r="I462" s="2"/>
      <c r="J462" s="2"/>
      <c r="K462" s="2"/>
      <c r="L462" s="2"/>
      <c r="M462" s="2"/>
      <c r="N462" s="2"/>
      <c r="O462" s="2"/>
      <c r="P462" s="2"/>
      <c r="Q462" s="2"/>
      <c r="R462" s="2"/>
      <c r="S462" s="2"/>
    </row>
    <row r="463" spans="9:19" ht="14.25" customHeight="1">
      <c r="I463" s="2"/>
      <c r="J463" s="2"/>
      <c r="K463" s="2"/>
      <c r="L463" s="2"/>
      <c r="M463" s="2"/>
      <c r="N463" s="2"/>
      <c r="O463" s="2"/>
      <c r="P463" s="2"/>
      <c r="Q463" s="2"/>
      <c r="R463" s="2"/>
      <c r="S463" s="2"/>
    </row>
    <row r="464" spans="9:19" ht="14.25" customHeight="1">
      <c r="I464" s="2"/>
      <c r="J464" s="2"/>
      <c r="K464" s="2"/>
      <c r="L464" s="2"/>
      <c r="M464" s="2"/>
      <c r="N464" s="2"/>
      <c r="O464" s="2"/>
      <c r="P464" s="2"/>
      <c r="Q464" s="2"/>
      <c r="R464" s="2"/>
      <c r="S464" s="2"/>
    </row>
    <row r="465" spans="9:19" ht="14.25" customHeight="1">
      <c r="I465" s="2"/>
      <c r="J465" s="2"/>
      <c r="K465" s="2"/>
      <c r="L465" s="2"/>
      <c r="M465" s="2"/>
      <c r="N465" s="2"/>
      <c r="O465" s="2"/>
      <c r="P465" s="2"/>
      <c r="Q465" s="2"/>
      <c r="R465" s="2"/>
      <c r="S465" s="2"/>
    </row>
    <row r="466" spans="9:19" ht="14.25" customHeight="1">
      <c r="I466" s="2"/>
      <c r="J466" s="2"/>
      <c r="K466" s="2"/>
      <c r="L466" s="2"/>
      <c r="M466" s="2"/>
      <c r="N466" s="2"/>
      <c r="O466" s="2"/>
      <c r="P466" s="2"/>
      <c r="Q466" s="2"/>
      <c r="R466" s="2"/>
      <c r="S466" s="2"/>
    </row>
    <row r="467" spans="9:19" ht="14.25" customHeight="1">
      <c r="I467" s="2"/>
      <c r="J467" s="2"/>
      <c r="K467" s="2"/>
      <c r="L467" s="2"/>
      <c r="M467" s="2"/>
      <c r="N467" s="2"/>
      <c r="O467" s="2"/>
      <c r="P467" s="2"/>
      <c r="Q467" s="2"/>
      <c r="R467" s="2"/>
      <c r="S467" s="2"/>
    </row>
    <row r="468" spans="9:19" ht="14.25" customHeight="1">
      <c r="I468" s="2"/>
      <c r="J468" s="2"/>
      <c r="K468" s="2"/>
      <c r="L468" s="2"/>
      <c r="M468" s="2"/>
      <c r="N468" s="2"/>
      <c r="O468" s="2"/>
      <c r="P468" s="2"/>
      <c r="Q468" s="2"/>
      <c r="R468" s="2"/>
      <c r="S468" s="2"/>
    </row>
    <row r="469" spans="9:19" ht="14.25" customHeight="1">
      <c r="I469" s="2"/>
      <c r="J469" s="2"/>
      <c r="K469" s="2"/>
      <c r="L469" s="2"/>
      <c r="M469" s="2"/>
      <c r="N469" s="2"/>
      <c r="O469" s="2"/>
      <c r="P469" s="2"/>
      <c r="Q469" s="2"/>
      <c r="R469" s="2"/>
      <c r="S469" s="2"/>
    </row>
    <row r="470" spans="9:19" ht="14.25" customHeight="1">
      <c r="I470" s="2"/>
      <c r="J470" s="2"/>
      <c r="K470" s="2"/>
      <c r="L470" s="2"/>
      <c r="M470" s="2"/>
      <c r="N470" s="2"/>
      <c r="O470" s="2"/>
      <c r="P470" s="2"/>
      <c r="Q470" s="2"/>
      <c r="R470" s="2"/>
      <c r="S470" s="2"/>
    </row>
    <row r="471" spans="9:19" ht="14.25" customHeight="1">
      <c r="I471" s="2"/>
      <c r="J471" s="2"/>
      <c r="K471" s="2"/>
      <c r="L471" s="2"/>
      <c r="M471" s="2"/>
      <c r="N471" s="2"/>
      <c r="O471" s="2"/>
      <c r="P471" s="2"/>
      <c r="Q471" s="2"/>
      <c r="R471" s="2"/>
      <c r="S471" s="2"/>
    </row>
    <row r="472" spans="9:19" ht="14.25" customHeight="1">
      <c r="I472" s="2"/>
      <c r="J472" s="2"/>
      <c r="K472" s="2"/>
      <c r="L472" s="2"/>
      <c r="M472" s="2"/>
      <c r="N472" s="2"/>
      <c r="O472" s="2"/>
      <c r="P472" s="2"/>
      <c r="Q472" s="2"/>
      <c r="R472" s="2"/>
      <c r="S472" s="2"/>
    </row>
    <row r="473" spans="9:19" ht="14.25" customHeight="1">
      <c r="I473" s="2"/>
      <c r="J473" s="2"/>
      <c r="K473" s="2"/>
      <c r="L473" s="2"/>
      <c r="M473" s="2"/>
      <c r="N473" s="2"/>
      <c r="O473" s="2"/>
      <c r="P473" s="2"/>
      <c r="Q473" s="2"/>
      <c r="R473" s="2"/>
      <c r="S473" s="2"/>
    </row>
    <row r="474" spans="9:19" ht="14.25" customHeight="1">
      <c r="I474" s="2"/>
      <c r="J474" s="2"/>
      <c r="K474" s="2"/>
      <c r="L474" s="2"/>
      <c r="M474" s="2"/>
      <c r="N474" s="2"/>
      <c r="O474" s="2"/>
      <c r="P474" s="2"/>
      <c r="Q474" s="2"/>
      <c r="R474" s="2"/>
      <c r="S474" s="2"/>
    </row>
    <row r="475" spans="9:19" ht="14.25" customHeight="1">
      <c r="I475" s="2"/>
      <c r="J475" s="2"/>
      <c r="K475" s="2"/>
      <c r="L475" s="2"/>
      <c r="M475" s="2"/>
      <c r="N475" s="2"/>
      <c r="O475" s="2"/>
      <c r="P475" s="2"/>
      <c r="Q475" s="2"/>
      <c r="R475" s="2"/>
      <c r="S475" s="2"/>
    </row>
    <row r="476" spans="9:19" ht="14.25" customHeight="1">
      <c r="I476" s="2"/>
      <c r="J476" s="2"/>
      <c r="K476" s="2"/>
      <c r="L476" s="2"/>
      <c r="M476" s="2"/>
      <c r="N476" s="2"/>
      <c r="O476" s="2"/>
      <c r="P476" s="2"/>
      <c r="Q476" s="2"/>
      <c r="R476" s="2"/>
      <c r="S476" s="2"/>
    </row>
    <row r="477" spans="9:19" ht="14.25" customHeight="1">
      <c r="I477" s="2"/>
      <c r="J477" s="2"/>
      <c r="K477" s="2"/>
      <c r="L477" s="2"/>
      <c r="M477" s="2"/>
      <c r="N477" s="2"/>
      <c r="O477" s="2"/>
      <c r="P477" s="2"/>
      <c r="Q477" s="2"/>
      <c r="R477" s="2"/>
      <c r="S477" s="2"/>
    </row>
    <row r="478" spans="9:19" ht="14.25" customHeight="1">
      <c r="I478" s="2"/>
      <c r="J478" s="2"/>
      <c r="K478" s="2"/>
      <c r="L478" s="2"/>
      <c r="M478" s="2"/>
      <c r="N478" s="2"/>
      <c r="O478" s="2"/>
      <c r="P478" s="2"/>
      <c r="Q478" s="2"/>
      <c r="R478" s="2"/>
      <c r="S478" s="2"/>
    </row>
    <row r="479" spans="9:19" ht="14.25" customHeight="1">
      <c r="I479" s="2"/>
      <c r="J479" s="2"/>
      <c r="K479" s="2"/>
      <c r="L479" s="2"/>
      <c r="M479" s="2"/>
      <c r="N479" s="2"/>
      <c r="O479" s="2"/>
      <c r="P479" s="2"/>
      <c r="Q479" s="2"/>
      <c r="R479" s="2"/>
      <c r="S479" s="2"/>
    </row>
    <row r="480" spans="9:19" ht="14.25" customHeight="1">
      <c r="I480" s="2"/>
      <c r="J480" s="2"/>
      <c r="K480" s="2"/>
      <c r="L480" s="2"/>
      <c r="M480" s="2"/>
      <c r="N480" s="2"/>
      <c r="O480" s="2"/>
      <c r="P480" s="2"/>
      <c r="Q480" s="2"/>
      <c r="R480" s="2"/>
      <c r="S480" s="2"/>
    </row>
    <row r="481" spans="9:19" ht="14.25" customHeight="1">
      <c r="I481" s="2"/>
      <c r="J481" s="2"/>
      <c r="K481" s="2"/>
      <c r="L481" s="2"/>
      <c r="M481" s="2"/>
      <c r="N481" s="2"/>
      <c r="O481" s="2"/>
      <c r="P481" s="2"/>
      <c r="Q481" s="2"/>
      <c r="R481" s="2"/>
      <c r="S481" s="2"/>
    </row>
    <row r="482" spans="9:19" ht="14.25" customHeight="1">
      <c r="I482" s="2"/>
      <c r="J482" s="2"/>
      <c r="K482" s="2"/>
      <c r="L482" s="2"/>
      <c r="M482" s="2"/>
      <c r="N482" s="2"/>
      <c r="O482" s="2"/>
      <c r="P482" s="2"/>
      <c r="Q482" s="2"/>
      <c r="R482" s="2"/>
      <c r="S482" s="2"/>
    </row>
    <row r="483" spans="9:19" ht="14.25" customHeight="1">
      <c r="I483" s="2"/>
      <c r="J483" s="2"/>
      <c r="K483" s="2"/>
      <c r="L483" s="2"/>
      <c r="M483" s="2"/>
      <c r="N483" s="2"/>
      <c r="O483" s="2"/>
      <c r="P483" s="2"/>
      <c r="Q483" s="2"/>
      <c r="R483" s="2"/>
      <c r="S483" s="2"/>
    </row>
    <row r="484" spans="9:19" ht="14.25" customHeight="1">
      <c r="I484" s="2"/>
      <c r="J484" s="2"/>
      <c r="K484" s="2"/>
      <c r="L484" s="2"/>
      <c r="M484" s="2"/>
      <c r="N484" s="2"/>
      <c r="O484" s="2"/>
      <c r="P484" s="2"/>
      <c r="Q484" s="2"/>
      <c r="R484" s="2"/>
      <c r="S484" s="2"/>
    </row>
    <row r="485" spans="9:19" ht="14.25" customHeight="1">
      <c r="I485" s="2"/>
      <c r="J485" s="2"/>
      <c r="K485" s="2"/>
      <c r="L485" s="2"/>
      <c r="M485" s="2"/>
      <c r="N485" s="2"/>
      <c r="O485" s="2"/>
      <c r="P485" s="2"/>
      <c r="Q485" s="2"/>
      <c r="R485" s="2"/>
      <c r="S485" s="2"/>
    </row>
    <row r="486" spans="9:19" ht="14.25" customHeight="1">
      <c r="I486" s="2"/>
      <c r="J486" s="2"/>
      <c r="K486" s="2"/>
      <c r="L486" s="2"/>
      <c r="M486" s="2"/>
      <c r="N486" s="2"/>
      <c r="O486" s="2"/>
      <c r="P486" s="2"/>
      <c r="Q486" s="2"/>
      <c r="R486" s="2"/>
      <c r="S486" s="2"/>
    </row>
    <row r="487" spans="9:19" ht="14.25" customHeight="1">
      <c r="I487" s="2"/>
      <c r="J487" s="2"/>
      <c r="K487" s="2"/>
      <c r="L487" s="2"/>
      <c r="M487" s="2"/>
      <c r="N487" s="2"/>
      <c r="O487" s="2"/>
      <c r="P487" s="2"/>
      <c r="Q487" s="2"/>
      <c r="R487" s="2"/>
      <c r="S487" s="2"/>
    </row>
    <row r="488" spans="9:19" ht="14.25" customHeight="1">
      <c r="I488" s="2"/>
      <c r="J488" s="2"/>
      <c r="K488" s="2"/>
      <c r="L488" s="2"/>
      <c r="M488" s="2"/>
      <c r="N488" s="2"/>
      <c r="O488" s="2"/>
      <c r="P488" s="2"/>
      <c r="Q488" s="2"/>
      <c r="R488" s="2"/>
      <c r="S488" s="2"/>
    </row>
    <row r="489" spans="9:19" ht="14.25" customHeight="1">
      <c r="I489" s="2"/>
      <c r="J489" s="2"/>
      <c r="K489" s="2"/>
      <c r="L489" s="2"/>
      <c r="M489" s="2"/>
      <c r="N489" s="2"/>
      <c r="O489" s="2"/>
      <c r="P489" s="2"/>
      <c r="Q489" s="2"/>
      <c r="R489" s="2"/>
      <c r="S489" s="2"/>
    </row>
    <row r="490" spans="9:19" ht="14.25" customHeight="1">
      <c r="I490" s="2"/>
      <c r="J490" s="2"/>
      <c r="K490" s="2"/>
      <c r="L490" s="2"/>
      <c r="M490" s="2"/>
      <c r="N490" s="2"/>
      <c r="O490" s="2"/>
      <c r="P490" s="2"/>
      <c r="Q490" s="2"/>
      <c r="R490" s="2"/>
      <c r="S490" s="2"/>
    </row>
    <row r="491" spans="9:19" ht="14.25" customHeight="1">
      <c r="I491" s="2"/>
      <c r="J491" s="2"/>
      <c r="K491" s="2"/>
      <c r="L491" s="2"/>
      <c r="M491" s="2"/>
      <c r="N491" s="2"/>
      <c r="O491" s="2"/>
      <c r="P491" s="2"/>
      <c r="Q491" s="2"/>
      <c r="R491" s="2"/>
      <c r="S491" s="2"/>
    </row>
    <row r="492" spans="9:19" ht="14.25" customHeight="1">
      <c r="I492" s="2"/>
      <c r="J492" s="2"/>
      <c r="K492" s="2"/>
      <c r="L492" s="2"/>
      <c r="M492" s="2"/>
      <c r="N492" s="2"/>
      <c r="O492" s="2"/>
      <c r="P492" s="2"/>
      <c r="Q492" s="2"/>
      <c r="R492" s="2"/>
      <c r="S492" s="2"/>
    </row>
    <row r="493" spans="9:19" ht="14.25" customHeight="1">
      <c r="I493" s="2"/>
      <c r="J493" s="2"/>
      <c r="K493" s="2"/>
      <c r="L493" s="2"/>
      <c r="M493" s="2"/>
      <c r="N493" s="2"/>
      <c r="O493" s="2"/>
      <c r="P493" s="2"/>
      <c r="Q493" s="2"/>
      <c r="R493" s="2"/>
      <c r="S493" s="2"/>
    </row>
    <row r="494" spans="9:19" ht="14.25" customHeight="1">
      <c r="I494" s="2"/>
      <c r="J494" s="2"/>
      <c r="K494" s="2"/>
      <c r="L494" s="2"/>
      <c r="M494" s="2"/>
      <c r="N494" s="2"/>
      <c r="O494" s="2"/>
      <c r="P494" s="2"/>
      <c r="Q494" s="2"/>
      <c r="R494" s="2"/>
      <c r="S494" s="2"/>
    </row>
    <row r="495" spans="9:19" ht="14.25" customHeight="1">
      <c r="I495" s="2"/>
      <c r="J495" s="2"/>
      <c r="K495" s="2"/>
      <c r="L495" s="2"/>
      <c r="M495" s="2"/>
      <c r="N495" s="2"/>
      <c r="O495" s="2"/>
      <c r="P495" s="2"/>
      <c r="Q495" s="2"/>
      <c r="R495" s="2"/>
      <c r="S495" s="2"/>
    </row>
    <row r="496" spans="9:19" ht="14.25" customHeight="1">
      <c r="I496" s="2"/>
      <c r="J496" s="2"/>
      <c r="K496" s="2"/>
      <c r="L496" s="2"/>
      <c r="M496" s="2"/>
      <c r="N496" s="2"/>
      <c r="O496" s="2"/>
      <c r="P496" s="2"/>
      <c r="Q496" s="2"/>
      <c r="R496" s="2"/>
      <c r="S496" s="2"/>
    </row>
    <row r="497" spans="9:19" ht="14.25" customHeight="1">
      <c r="I497" s="2"/>
      <c r="J497" s="2"/>
      <c r="K497" s="2"/>
      <c r="L497" s="2"/>
      <c r="M497" s="2"/>
      <c r="N497" s="2"/>
      <c r="O497" s="2"/>
      <c r="P497" s="2"/>
      <c r="Q497" s="2"/>
      <c r="R497" s="2"/>
      <c r="S497" s="2"/>
    </row>
    <row r="498" spans="9:19" ht="14.25" customHeight="1">
      <c r="I498" s="2"/>
      <c r="J498" s="2"/>
      <c r="K498" s="2"/>
      <c r="L498" s="2"/>
      <c r="M498" s="2"/>
      <c r="N498" s="2"/>
      <c r="O498" s="2"/>
      <c r="P498" s="2"/>
      <c r="Q498" s="2"/>
      <c r="R498" s="2"/>
      <c r="S498" s="2"/>
    </row>
    <row r="499" spans="9:19" ht="14.25" customHeight="1">
      <c r="I499" s="2"/>
      <c r="J499" s="2"/>
      <c r="K499" s="2"/>
      <c r="L499" s="2"/>
      <c r="M499" s="2"/>
      <c r="N499" s="2"/>
      <c r="O499" s="2"/>
      <c r="P499" s="2"/>
      <c r="Q499" s="2"/>
      <c r="R499" s="2"/>
      <c r="S499" s="2"/>
    </row>
    <row r="500" spans="9:19" ht="14.25" customHeight="1">
      <c r="I500" s="2"/>
      <c r="J500" s="2"/>
      <c r="K500" s="2"/>
      <c r="L500" s="2"/>
      <c r="M500" s="2"/>
      <c r="N500" s="2"/>
      <c r="O500" s="2"/>
      <c r="P500" s="2"/>
      <c r="Q500" s="2"/>
      <c r="R500" s="2"/>
      <c r="S500" s="2"/>
    </row>
    <row r="501" spans="9:19" ht="14.25" customHeight="1">
      <c r="I501" s="2"/>
      <c r="J501" s="2"/>
      <c r="K501" s="2"/>
      <c r="L501" s="2"/>
      <c r="M501" s="2"/>
      <c r="N501" s="2"/>
      <c r="O501" s="2"/>
      <c r="P501" s="2"/>
      <c r="Q501" s="2"/>
      <c r="R501" s="2"/>
      <c r="S501" s="2"/>
    </row>
    <row r="502" spans="9:19" ht="14.25" customHeight="1">
      <c r="I502" s="2"/>
      <c r="J502" s="2"/>
      <c r="K502" s="2"/>
      <c r="L502" s="2"/>
      <c r="M502" s="2"/>
      <c r="N502" s="2"/>
      <c r="O502" s="2"/>
      <c r="P502" s="2"/>
      <c r="Q502" s="2"/>
      <c r="R502" s="2"/>
      <c r="S502" s="2"/>
    </row>
    <row r="503" spans="9:19" ht="14.25" customHeight="1">
      <c r="I503" s="2"/>
      <c r="J503" s="2"/>
      <c r="K503" s="2"/>
      <c r="L503" s="2"/>
      <c r="M503" s="2"/>
      <c r="N503" s="2"/>
      <c r="O503" s="2"/>
      <c r="P503" s="2"/>
      <c r="Q503" s="2"/>
      <c r="R503" s="2"/>
      <c r="S503" s="2"/>
    </row>
    <row r="504" spans="9:19" ht="14.25" customHeight="1">
      <c r="I504" s="2"/>
      <c r="J504" s="2"/>
      <c r="K504" s="2"/>
      <c r="L504" s="2"/>
      <c r="M504" s="2"/>
      <c r="N504" s="2"/>
      <c r="O504" s="2"/>
      <c r="P504" s="2"/>
      <c r="Q504" s="2"/>
      <c r="R504" s="2"/>
      <c r="S504" s="2"/>
    </row>
    <row r="505" spans="9:19" ht="14.25" customHeight="1">
      <c r="I505" s="2"/>
      <c r="J505" s="2"/>
      <c r="K505" s="2"/>
      <c r="L505" s="2"/>
      <c r="M505" s="2"/>
      <c r="N505" s="2"/>
      <c r="O505" s="2"/>
      <c r="P505" s="2"/>
      <c r="Q505" s="2"/>
      <c r="R505" s="2"/>
      <c r="S505" s="2"/>
    </row>
    <row r="506" spans="9:19" ht="14.25" customHeight="1">
      <c r="I506" s="2"/>
      <c r="J506" s="2"/>
      <c r="K506" s="2"/>
      <c r="L506" s="2"/>
      <c r="M506" s="2"/>
      <c r="N506" s="2"/>
      <c r="O506" s="2"/>
      <c r="P506" s="2"/>
      <c r="Q506" s="2"/>
      <c r="R506" s="2"/>
      <c r="S506" s="2"/>
    </row>
    <row r="507" spans="9:19" ht="14.25" customHeight="1">
      <c r="I507" s="2"/>
      <c r="J507" s="2"/>
      <c r="K507" s="2"/>
      <c r="L507" s="2"/>
      <c r="M507" s="2"/>
      <c r="N507" s="2"/>
      <c r="O507" s="2"/>
      <c r="P507" s="2"/>
      <c r="Q507" s="2"/>
      <c r="R507" s="2"/>
      <c r="S507" s="2"/>
    </row>
    <row r="508" spans="9:19" ht="14.25" customHeight="1">
      <c r="I508" s="2"/>
      <c r="J508" s="2"/>
      <c r="K508" s="2"/>
      <c r="L508" s="2"/>
      <c r="M508" s="2"/>
      <c r="N508" s="2"/>
      <c r="O508" s="2"/>
      <c r="P508" s="2"/>
      <c r="Q508" s="2"/>
      <c r="R508" s="2"/>
      <c r="S508" s="2"/>
    </row>
    <row r="509" spans="9:19" ht="14.25" customHeight="1">
      <c r="I509" s="2"/>
      <c r="J509" s="2"/>
      <c r="K509" s="2"/>
      <c r="L509" s="2"/>
      <c r="M509" s="2"/>
      <c r="N509" s="2"/>
      <c r="O509" s="2"/>
      <c r="P509" s="2"/>
      <c r="Q509" s="2"/>
      <c r="R509" s="2"/>
      <c r="S509" s="2"/>
    </row>
    <row r="510" spans="9:19" ht="14.25" customHeight="1">
      <c r="I510" s="2"/>
      <c r="J510" s="2"/>
      <c r="K510" s="2"/>
      <c r="L510" s="2"/>
      <c r="M510" s="2"/>
      <c r="N510" s="2"/>
      <c r="O510" s="2"/>
      <c r="P510" s="2"/>
      <c r="Q510" s="2"/>
      <c r="R510" s="2"/>
      <c r="S510" s="2"/>
    </row>
    <row r="511" spans="9:19" ht="14.25" customHeight="1">
      <c r="I511" s="2"/>
      <c r="J511" s="2"/>
      <c r="K511" s="2"/>
      <c r="L511" s="2"/>
      <c r="M511" s="2"/>
      <c r="N511" s="2"/>
      <c r="O511" s="2"/>
      <c r="P511" s="2"/>
      <c r="Q511" s="2"/>
      <c r="R511" s="2"/>
      <c r="S511" s="2"/>
    </row>
    <row r="512" spans="9:19" ht="14.25" customHeight="1">
      <c r="I512" s="2"/>
      <c r="J512" s="2"/>
      <c r="K512" s="2"/>
      <c r="L512" s="2"/>
      <c r="M512" s="2"/>
      <c r="N512" s="2"/>
      <c r="O512" s="2"/>
      <c r="P512" s="2"/>
      <c r="Q512" s="2"/>
      <c r="R512" s="2"/>
      <c r="S512" s="2"/>
    </row>
    <row r="513" spans="9:19" ht="14.25" customHeight="1">
      <c r="I513" s="2"/>
      <c r="J513" s="2"/>
      <c r="K513" s="2"/>
      <c r="L513" s="2"/>
      <c r="M513" s="2"/>
      <c r="N513" s="2"/>
      <c r="O513" s="2"/>
      <c r="P513" s="2"/>
      <c r="Q513" s="2"/>
      <c r="R513" s="2"/>
      <c r="S513" s="2"/>
    </row>
    <row r="514" spans="9:19" ht="14.25" customHeight="1">
      <c r="I514" s="2"/>
      <c r="J514" s="2"/>
      <c r="K514" s="2"/>
      <c r="L514" s="2"/>
      <c r="M514" s="2"/>
      <c r="N514" s="2"/>
      <c r="O514" s="2"/>
      <c r="P514" s="2"/>
      <c r="Q514" s="2"/>
      <c r="R514" s="2"/>
      <c r="S514" s="2"/>
    </row>
    <row r="515" spans="9:19" ht="14.25" customHeight="1">
      <c r="I515" s="2"/>
      <c r="J515" s="2"/>
      <c r="K515" s="2"/>
      <c r="L515" s="2"/>
      <c r="M515" s="2"/>
      <c r="N515" s="2"/>
      <c r="O515" s="2"/>
      <c r="P515" s="2"/>
      <c r="Q515" s="2"/>
      <c r="R515" s="2"/>
      <c r="S515" s="2"/>
    </row>
    <row r="516" spans="9:19" ht="14.25" customHeight="1">
      <c r="I516" s="2"/>
      <c r="J516" s="2"/>
      <c r="K516" s="2"/>
      <c r="L516" s="2"/>
      <c r="M516" s="2"/>
      <c r="N516" s="2"/>
      <c r="O516" s="2"/>
      <c r="P516" s="2"/>
      <c r="Q516" s="2"/>
      <c r="R516" s="2"/>
      <c r="S516" s="2"/>
    </row>
    <row r="517" spans="9:19" ht="14.25" customHeight="1">
      <c r="I517" s="2"/>
      <c r="J517" s="2"/>
      <c r="K517" s="2"/>
      <c r="L517" s="2"/>
      <c r="M517" s="2"/>
      <c r="N517" s="2"/>
      <c r="O517" s="2"/>
      <c r="P517" s="2"/>
      <c r="Q517" s="2"/>
      <c r="R517" s="2"/>
      <c r="S517" s="2"/>
    </row>
    <row r="518" spans="9:19" ht="14.25" customHeight="1">
      <c r="I518" s="2"/>
      <c r="J518" s="2"/>
      <c r="K518" s="2"/>
      <c r="L518" s="2"/>
      <c r="M518" s="2"/>
      <c r="N518" s="2"/>
      <c r="O518" s="2"/>
      <c r="P518" s="2"/>
      <c r="Q518" s="2"/>
      <c r="R518" s="2"/>
      <c r="S518" s="2"/>
    </row>
    <row r="519" spans="9:19" ht="14.25" customHeight="1">
      <c r="I519" s="2"/>
      <c r="J519" s="2"/>
      <c r="K519" s="2"/>
      <c r="L519" s="2"/>
      <c r="M519" s="2"/>
      <c r="N519" s="2"/>
      <c r="O519" s="2"/>
      <c r="P519" s="2"/>
      <c r="Q519" s="2"/>
      <c r="R519" s="2"/>
      <c r="S519" s="2"/>
    </row>
    <row r="520" spans="9:19" ht="14.25" customHeight="1">
      <c r="I520" s="2"/>
      <c r="J520" s="2"/>
      <c r="K520" s="2"/>
      <c r="L520" s="2"/>
      <c r="M520" s="2"/>
      <c r="N520" s="2"/>
      <c r="O520" s="2"/>
      <c r="P520" s="2"/>
      <c r="Q520" s="2"/>
      <c r="R520" s="2"/>
      <c r="S520" s="2"/>
    </row>
    <row r="521" spans="9:19" ht="14.25" customHeight="1">
      <c r="I521" s="2"/>
      <c r="J521" s="2"/>
      <c r="K521" s="2"/>
      <c r="L521" s="2"/>
      <c r="M521" s="2"/>
      <c r="N521" s="2"/>
      <c r="O521" s="2"/>
      <c r="P521" s="2"/>
      <c r="Q521" s="2"/>
      <c r="R521" s="2"/>
      <c r="S521" s="2"/>
    </row>
    <row r="522" spans="9:19" ht="14.25" customHeight="1">
      <c r="I522" s="2"/>
      <c r="J522" s="2"/>
      <c r="K522" s="2"/>
      <c r="L522" s="2"/>
      <c r="M522" s="2"/>
      <c r="N522" s="2"/>
      <c r="O522" s="2"/>
      <c r="P522" s="2"/>
      <c r="Q522" s="2"/>
      <c r="R522" s="2"/>
      <c r="S522" s="2"/>
    </row>
    <row r="523" spans="9:19" ht="14.25" customHeight="1">
      <c r="I523" s="2"/>
      <c r="J523" s="2"/>
      <c r="K523" s="2"/>
      <c r="L523" s="2"/>
      <c r="M523" s="2"/>
      <c r="N523" s="2"/>
      <c r="O523" s="2"/>
      <c r="P523" s="2"/>
      <c r="Q523" s="2"/>
      <c r="R523" s="2"/>
      <c r="S523" s="2"/>
    </row>
    <row r="524" spans="9:19" ht="14.25" customHeight="1">
      <c r="I524" s="2"/>
      <c r="J524" s="2"/>
      <c r="K524" s="2"/>
      <c r="L524" s="2"/>
      <c r="M524" s="2"/>
      <c r="N524" s="2"/>
      <c r="O524" s="2"/>
      <c r="P524" s="2"/>
      <c r="Q524" s="2"/>
      <c r="R524" s="2"/>
      <c r="S524" s="2"/>
    </row>
    <row r="525" spans="9:19" ht="14.25" customHeight="1">
      <c r="I525" s="2"/>
      <c r="J525" s="2"/>
      <c r="K525" s="2"/>
      <c r="L525" s="2"/>
      <c r="M525" s="2"/>
      <c r="N525" s="2"/>
      <c r="O525" s="2"/>
      <c r="P525" s="2"/>
      <c r="Q525" s="2"/>
      <c r="R525" s="2"/>
      <c r="S525" s="2"/>
    </row>
    <row r="526" spans="9:19" ht="14.25" customHeight="1">
      <c r="I526" s="2"/>
      <c r="J526" s="2"/>
      <c r="K526" s="2"/>
      <c r="L526" s="2"/>
      <c r="M526" s="2"/>
      <c r="N526" s="2"/>
      <c r="O526" s="2"/>
      <c r="P526" s="2"/>
      <c r="Q526" s="2"/>
      <c r="R526" s="2"/>
      <c r="S526" s="2"/>
    </row>
    <row r="527" spans="9:19" ht="14.25" customHeight="1">
      <c r="I527" s="2"/>
      <c r="J527" s="2"/>
      <c r="K527" s="2"/>
      <c r="L527" s="2"/>
      <c r="M527" s="2"/>
      <c r="N527" s="2"/>
      <c r="O527" s="2"/>
      <c r="P527" s="2"/>
      <c r="Q527" s="2"/>
      <c r="R527" s="2"/>
      <c r="S527" s="2"/>
    </row>
    <row r="528" spans="9:19" ht="14.25" customHeight="1">
      <c r="I528" s="2"/>
      <c r="J528" s="2"/>
      <c r="K528" s="2"/>
      <c r="L528" s="2"/>
      <c r="M528" s="2"/>
      <c r="N528" s="2"/>
      <c r="O528" s="2"/>
      <c r="P528" s="2"/>
      <c r="Q528" s="2"/>
      <c r="R528" s="2"/>
      <c r="S528" s="2"/>
    </row>
    <row r="529" spans="9:19" ht="14.25" customHeight="1">
      <c r="I529" s="2"/>
      <c r="J529" s="2"/>
      <c r="K529" s="2"/>
      <c r="L529" s="2"/>
      <c r="M529" s="2"/>
      <c r="N529" s="2"/>
      <c r="O529" s="2"/>
      <c r="P529" s="2"/>
      <c r="Q529" s="2"/>
      <c r="R529" s="2"/>
      <c r="S529" s="2"/>
    </row>
    <row r="530" spans="9:19" ht="14.25" customHeight="1">
      <c r="I530" s="2"/>
      <c r="J530" s="2"/>
      <c r="K530" s="2"/>
      <c r="L530" s="2"/>
      <c r="M530" s="2"/>
      <c r="N530" s="2"/>
      <c r="O530" s="2"/>
      <c r="P530" s="2"/>
      <c r="Q530" s="2"/>
      <c r="R530" s="2"/>
      <c r="S530" s="2"/>
    </row>
    <row r="531" spans="9:19" ht="14.25" customHeight="1">
      <c r="I531" s="2"/>
      <c r="J531" s="2"/>
      <c r="K531" s="2"/>
      <c r="L531" s="2"/>
      <c r="M531" s="2"/>
      <c r="N531" s="2"/>
      <c r="O531" s="2"/>
      <c r="P531" s="2"/>
      <c r="Q531" s="2"/>
      <c r="R531" s="2"/>
      <c r="S531" s="2"/>
    </row>
    <row r="532" spans="9:19" ht="14.25" customHeight="1">
      <c r="I532" s="2"/>
      <c r="J532" s="2"/>
      <c r="K532" s="2"/>
      <c r="L532" s="2"/>
      <c r="M532" s="2"/>
      <c r="N532" s="2"/>
      <c r="O532" s="2"/>
      <c r="P532" s="2"/>
      <c r="Q532" s="2"/>
      <c r="R532" s="2"/>
      <c r="S532" s="2"/>
    </row>
    <row r="533" spans="9:19" ht="14.25" customHeight="1">
      <c r="I533" s="2"/>
      <c r="J533" s="2"/>
      <c r="K533" s="2"/>
      <c r="L533" s="2"/>
      <c r="M533" s="2"/>
      <c r="N533" s="2"/>
      <c r="O533" s="2"/>
      <c r="P533" s="2"/>
      <c r="Q533" s="2"/>
      <c r="R533" s="2"/>
      <c r="S533" s="2"/>
    </row>
    <row r="534" spans="9:19" ht="14.25" customHeight="1">
      <c r="I534" s="2"/>
      <c r="J534" s="2"/>
      <c r="K534" s="2"/>
      <c r="L534" s="2"/>
      <c r="M534" s="2"/>
      <c r="N534" s="2"/>
      <c r="O534" s="2"/>
      <c r="P534" s="2"/>
      <c r="Q534" s="2"/>
      <c r="R534" s="2"/>
      <c r="S534" s="2"/>
    </row>
    <row r="535" spans="9:19" ht="14.25" customHeight="1">
      <c r="I535" s="2"/>
      <c r="J535" s="2"/>
      <c r="K535" s="2"/>
      <c r="L535" s="2"/>
      <c r="M535" s="2"/>
      <c r="N535" s="2"/>
      <c r="O535" s="2"/>
      <c r="P535" s="2"/>
      <c r="Q535" s="2"/>
      <c r="R535" s="2"/>
      <c r="S535" s="2"/>
    </row>
    <row r="536" spans="9:19" ht="14.25" customHeight="1">
      <c r="I536" s="2"/>
      <c r="J536" s="2"/>
      <c r="K536" s="2"/>
      <c r="L536" s="2"/>
      <c r="M536" s="2"/>
      <c r="N536" s="2"/>
      <c r="O536" s="2"/>
      <c r="P536" s="2"/>
      <c r="Q536" s="2"/>
      <c r="R536" s="2"/>
      <c r="S536" s="2"/>
    </row>
    <row r="537" spans="9:19" ht="14.25" customHeight="1">
      <c r="I537" s="2"/>
      <c r="J537" s="2"/>
      <c r="K537" s="2"/>
      <c r="L537" s="2"/>
      <c r="M537" s="2"/>
      <c r="N537" s="2"/>
      <c r="O537" s="2"/>
      <c r="P537" s="2"/>
      <c r="Q537" s="2"/>
      <c r="R537" s="2"/>
      <c r="S537" s="2"/>
    </row>
    <row r="538" spans="9:19" ht="14.25" customHeight="1">
      <c r="I538" s="2"/>
      <c r="J538" s="2"/>
      <c r="K538" s="2"/>
      <c r="L538" s="2"/>
      <c r="M538" s="2"/>
      <c r="N538" s="2"/>
      <c r="O538" s="2"/>
      <c r="P538" s="2"/>
      <c r="Q538" s="2"/>
      <c r="R538" s="2"/>
      <c r="S538" s="2"/>
    </row>
    <row r="539" spans="9:19" ht="14.25" customHeight="1">
      <c r="I539" s="2"/>
      <c r="J539" s="2"/>
      <c r="K539" s="2"/>
      <c r="L539" s="2"/>
      <c r="M539" s="2"/>
      <c r="N539" s="2"/>
      <c r="O539" s="2"/>
      <c r="P539" s="2"/>
      <c r="Q539" s="2"/>
      <c r="R539" s="2"/>
      <c r="S539" s="2"/>
    </row>
    <row r="540" spans="9:19" ht="14.25" customHeight="1">
      <c r="I540" s="2"/>
      <c r="J540" s="2"/>
      <c r="K540" s="2"/>
      <c r="L540" s="2"/>
      <c r="M540" s="2"/>
      <c r="N540" s="2"/>
      <c r="O540" s="2"/>
      <c r="P540" s="2"/>
      <c r="Q540" s="2"/>
      <c r="R540" s="2"/>
      <c r="S540" s="2"/>
    </row>
    <row r="541" spans="9:19" ht="14.25" customHeight="1">
      <c r="I541" s="2"/>
      <c r="J541" s="2"/>
      <c r="K541" s="2"/>
      <c r="L541" s="2"/>
      <c r="M541" s="2"/>
      <c r="N541" s="2"/>
      <c r="O541" s="2"/>
      <c r="P541" s="2"/>
      <c r="Q541" s="2"/>
      <c r="R541" s="2"/>
      <c r="S541" s="2"/>
    </row>
    <row r="542" spans="9:19" ht="14.25" customHeight="1">
      <c r="I542" s="2"/>
      <c r="J542" s="2"/>
      <c r="K542" s="2"/>
      <c r="L542" s="2"/>
      <c r="M542" s="2"/>
      <c r="N542" s="2"/>
      <c r="O542" s="2"/>
      <c r="P542" s="2"/>
      <c r="Q542" s="2"/>
      <c r="R542" s="2"/>
      <c r="S542" s="2"/>
    </row>
    <row r="543" spans="9:19" ht="14.25" customHeight="1">
      <c r="I543" s="2"/>
      <c r="J543" s="2"/>
      <c r="K543" s="2"/>
      <c r="L543" s="2"/>
      <c r="M543" s="2"/>
      <c r="N543" s="2"/>
      <c r="O543" s="2"/>
      <c r="P543" s="2"/>
      <c r="Q543" s="2"/>
      <c r="R543" s="2"/>
      <c r="S543" s="2"/>
    </row>
    <row r="544" spans="9:19" ht="14.25" customHeight="1">
      <c r="I544" s="2"/>
      <c r="J544" s="2"/>
      <c r="K544" s="2"/>
      <c r="L544" s="2"/>
      <c r="M544" s="2"/>
      <c r="N544" s="2"/>
      <c r="O544" s="2"/>
      <c r="P544" s="2"/>
      <c r="Q544" s="2"/>
      <c r="R544" s="2"/>
      <c r="S544" s="2"/>
    </row>
    <row r="545" spans="9:19" ht="14.25" customHeight="1">
      <c r="I545" s="2"/>
      <c r="J545" s="2"/>
      <c r="K545" s="2"/>
      <c r="L545" s="2"/>
      <c r="M545" s="2"/>
      <c r="N545" s="2"/>
      <c r="O545" s="2"/>
      <c r="P545" s="2"/>
      <c r="Q545" s="2"/>
      <c r="R545" s="2"/>
      <c r="S545" s="2"/>
    </row>
    <row r="546" spans="9:19" ht="14.25" customHeight="1">
      <c r="I546" s="2"/>
      <c r="J546" s="2"/>
      <c r="K546" s="2"/>
      <c r="L546" s="2"/>
      <c r="M546" s="2"/>
      <c r="N546" s="2"/>
      <c r="O546" s="2"/>
      <c r="P546" s="2"/>
      <c r="Q546" s="2"/>
      <c r="R546" s="2"/>
      <c r="S546" s="2"/>
    </row>
    <row r="547" spans="9:19" ht="14.25" customHeight="1">
      <c r="I547" s="2"/>
      <c r="J547" s="2"/>
      <c r="K547" s="2"/>
      <c r="L547" s="2"/>
      <c r="M547" s="2"/>
      <c r="N547" s="2"/>
      <c r="O547" s="2"/>
      <c r="P547" s="2"/>
      <c r="Q547" s="2"/>
      <c r="R547" s="2"/>
      <c r="S547" s="2"/>
    </row>
    <row r="548" spans="9:19" ht="14.25" customHeight="1">
      <c r="I548" s="2"/>
      <c r="J548" s="2"/>
      <c r="K548" s="2"/>
      <c r="L548" s="2"/>
      <c r="M548" s="2"/>
      <c r="N548" s="2"/>
      <c r="O548" s="2"/>
      <c r="P548" s="2"/>
      <c r="Q548" s="2"/>
      <c r="R548" s="2"/>
      <c r="S548" s="2"/>
    </row>
    <row r="549" spans="9:19" ht="14.25" customHeight="1">
      <c r="I549" s="2"/>
      <c r="J549" s="2"/>
      <c r="K549" s="2"/>
      <c r="L549" s="2"/>
      <c r="M549" s="2"/>
      <c r="N549" s="2"/>
      <c r="O549" s="2"/>
      <c r="P549" s="2"/>
      <c r="Q549" s="2"/>
      <c r="R549" s="2"/>
      <c r="S549" s="2"/>
    </row>
    <row r="550" spans="9:19" ht="14.25" customHeight="1">
      <c r="I550" s="2"/>
      <c r="J550" s="2"/>
      <c r="K550" s="2"/>
      <c r="L550" s="2"/>
      <c r="M550" s="2"/>
      <c r="N550" s="2"/>
      <c r="O550" s="2"/>
      <c r="P550" s="2"/>
      <c r="Q550" s="2"/>
      <c r="R550" s="2"/>
      <c r="S550" s="2"/>
    </row>
    <row r="551" spans="9:19" ht="14.25" customHeight="1">
      <c r="I551" s="2"/>
      <c r="J551" s="2"/>
      <c r="K551" s="2"/>
      <c r="L551" s="2"/>
      <c r="M551" s="2"/>
      <c r="N551" s="2"/>
      <c r="O551" s="2"/>
      <c r="P551" s="2"/>
      <c r="Q551" s="2"/>
      <c r="R551" s="2"/>
      <c r="S551" s="2"/>
    </row>
    <row r="552" spans="9:19" ht="14.25" customHeight="1">
      <c r="I552" s="2"/>
      <c r="J552" s="2"/>
      <c r="K552" s="2"/>
      <c r="L552" s="2"/>
      <c r="M552" s="2"/>
      <c r="N552" s="2"/>
      <c r="O552" s="2"/>
      <c r="P552" s="2"/>
      <c r="Q552" s="2"/>
      <c r="R552" s="2"/>
      <c r="S552" s="2"/>
    </row>
    <row r="553" spans="9:19" ht="14.25" customHeight="1">
      <c r="I553" s="2"/>
      <c r="J553" s="2"/>
      <c r="K553" s="2"/>
      <c r="L553" s="2"/>
      <c r="M553" s="2"/>
      <c r="N553" s="2"/>
      <c r="O553" s="2"/>
      <c r="P553" s="2"/>
      <c r="Q553" s="2"/>
      <c r="R553" s="2"/>
      <c r="S553" s="2"/>
    </row>
    <row r="554" spans="9:19" ht="14.25" customHeight="1">
      <c r="I554" s="2"/>
      <c r="J554" s="2"/>
      <c r="K554" s="2"/>
      <c r="L554" s="2"/>
      <c r="M554" s="2"/>
      <c r="N554" s="2"/>
      <c r="O554" s="2"/>
      <c r="P554" s="2"/>
      <c r="Q554" s="2"/>
      <c r="R554" s="2"/>
      <c r="S554" s="2"/>
    </row>
    <row r="555" spans="9:19" ht="14.25" customHeight="1">
      <c r="I555" s="2"/>
      <c r="J555" s="2"/>
      <c r="K555" s="2"/>
      <c r="L555" s="2"/>
      <c r="M555" s="2"/>
      <c r="N555" s="2"/>
      <c r="O555" s="2"/>
      <c r="P555" s="2"/>
      <c r="Q555" s="2"/>
      <c r="R555" s="2"/>
      <c r="S555" s="2"/>
    </row>
    <row r="556" spans="9:19" ht="14.25" customHeight="1">
      <c r="I556" s="2"/>
      <c r="J556" s="2"/>
      <c r="K556" s="2"/>
      <c r="L556" s="2"/>
      <c r="M556" s="2"/>
      <c r="N556" s="2"/>
      <c r="O556" s="2"/>
      <c r="P556" s="2"/>
      <c r="Q556" s="2"/>
      <c r="R556" s="2"/>
      <c r="S556" s="2"/>
    </row>
    <row r="557" spans="9:19" ht="14.25" customHeight="1">
      <c r="I557" s="2"/>
      <c r="J557" s="2"/>
      <c r="K557" s="2"/>
      <c r="L557" s="2"/>
      <c r="M557" s="2"/>
      <c r="N557" s="2"/>
      <c r="O557" s="2"/>
      <c r="P557" s="2"/>
      <c r="Q557" s="2"/>
      <c r="R557" s="2"/>
      <c r="S557" s="2"/>
    </row>
    <row r="558" spans="9:19" ht="14.25" customHeight="1">
      <c r="I558" s="2"/>
      <c r="J558" s="2"/>
      <c r="K558" s="2"/>
      <c r="L558" s="2"/>
      <c r="M558" s="2"/>
      <c r="N558" s="2"/>
      <c r="O558" s="2"/>
      <c r="P558" s="2"/>
      <c r="Q558" s="2"/>
      <c r="R558" s="2"/>
      <c r="S558" s="2"/>
    </row>
    <row r="559" spans="9:19" ht="14.25" customHeight="1">
      <c r="I559" s="2"/>
      <c r="J559" s="2"/>
      <c r="K559" s="2"/>
      <c r="L559" s="2"/>
      <c r="M559" s="2"/>
      <c r="N559" s="2"/>
      <c r="O559" s="2"/>
      <c r="P559" s="2"/>
      <c r="Q559" s="2"/>
      <c r="R559" s="2"/>
      <c r="S559" s="2"/>
    </row>
    <row r="560" spans="9:19" ht="14.25" customHeight="1">
      <c r="I560" s="2"/>
      <c r="J560" s="2"/>
      <c r="K560" s="2"/>
      <c r="L560" s="2"/>
      <c r="M560" s="2"/>
      <c r="N560" s="2"/>
      <c r="O560" s="2"/>
      <c r="P560" s="2"/>
      <c r="Q560" s="2"/>
      <c r="R560" s="2"/>
      <c r="S560" s="2"/>
    </row>
    <row r="561" spans="9:19" ht="14.25" customHeight="1">
      <c r="I561" s="2"/>
      <c r="J561" s="2"/>
      <c r="K561" s="2"/>
      <c r="L561" s="2"/>
      <c r="M561" s="2"/>
      <c r="N561" s="2"/>
      <c r="O561" s="2"/>
      <c r="P561" s="2"/>
      <c r="Q561" s="2"/>
      <c r="R561" s="2"/>
      <c r="S561" s="2"/>
    </row>
    <row r="562" spans="9:19" ht="14.25" customHeight="1">
      <c r="I562" s="2"/>
      <c r="J562" s="2"/>
      <c r="K562" s="2"/>
      <c r="L562" s="2"/>
      <c r="M562" s="2"/>
      <c r="N562" s="2"/>
      <c r="O562" s="2"/>
      <c r="P562" s="2"/>
      <c r="Q562" s="2"/>
      <c r="R562" s="2"/>
      <c r="S562" s="2"/>
    </row>
    <row r="563" spans="9:19" ht="14.25" customHeight="1">
      <c r="I563" s="2"/>
      <c r="J563" s="2"/>
      <c r="K563" s="2"/>
      <c r="L563" s="2"/>
      <c r="M563" s="2"/>
      <c r="N563" s="2"/>
      <c r="O563" s="2"/>
      <c r="P563" s="2"/>
      <c r="Q563" s="2"/>
      <c r="R563" s="2"/>
      <c r="S563" s="2"/>
    </row>
    <row r="564" spans="9:19" ht="14.25" customHeight="1">
      <c r="I564" s="2"/>
      <c r="J564" s="2"/>
      <c r="K564" s="2"/>
      <c r="L564" s="2"/>
      <c r="M564" s="2"/>
      <c r="N564" s="2"/>
      <c r="O564" s="2"/>
      <c r="P564" s="2"/>
      <c r="Q564" s="2"/>
      <c r="R564" s="2"/>
      <c r="S564" s="2"/>
    </row>
    <row r="565" spans="9:19" ht="14.25" customHeight="1">
      <c r="I565" s="2"/>
      <c r="J565" s="2"/>
      <c r="K565" s="2"/>
      <c r="L565" s="2"/>
      <c r="M565" s="2"/>
      <c r="N565" s="2"/>
      <c r="O565" s="2"/>
      <c r="P565" s="2"/>
      <c r="Q565" s="2"/>
      <c r="R565" s="2"/>
      <c r="S565" s="2"/>
    </row>
    <row r="566" spans="9:19" ht="14.25" customHeight="1">
      <c r="I566" s="2"/>
      <c r="J566" s="2"/>
      <c r="K566" s="2"/>
      <c r="L566" s="2"/>
      <c r="M566" s="2"/>
      <c r="N566" s="2"/>
      <c r="O566" s="2"/>
      <c r="P566" s="2"/>
      <c r="Q566" s="2"/>
      <c r="R566" s="2"/>
      <c r="S566" s="2"/>
    </row>
    <row r="567" spans="9:19" ht="14.25" customHeight="1">
      <c r="I567" s="2"/>
      <c r="J567" s="2"/>
      <c r="K567" s="2"/>
      <c r="L567" s="2"/>
      <c r="M567" s="2"/>
      <c r="N567" s="2"/>
      <c r="O567" s="2"/>
      <c r="P567" s="2"/>
      <c r="Q567" s="2"/>
      <c r="R567" s="2"/>
      <c r="S567" s="2"/>
    </row>
    <row r="568" spans="9:19" ht="14.25" customHeight="1">
      <c r="I568" s="2"/>
      <c r="J568" s="2"/>
      <c r="K568" s="2"/>
      <c r="L568" s="2"/>
      <c r="M568" s="2"/>
      <c r="N568" s="2"/>
      <c r="O568" s="2"/>
      <c r="P568" s="2"/>
      <c r="Q568" s="2"/>
      <c r="R568" s="2"/>
      <c r="S568" s="2"/>
    </row>
    <row r="569" spans="9:19" ht="14.25" customHeight="1">
      <c r="I569" s="2"/>
      <c r="J569" s="2"/>
      <c r="K569" s="2"/>
      <c r="L569" s="2"/>
      <c r="M569" s="2"/>
      <c r="N569" s="2"/>
      <c r="O569" s="2"/>
      <c r="P569" s="2"/>
      <c r="Q569" s="2"/>
      <c r="R569" s="2"/>
      <c r="S569" s="2"/>
    </row>
    <row r="570" spans="9:19" ht="14.25" customHeight="1">
      <c r="I570" s="2"/>
      <c r="J570" s="2"/>
      <c r="K570" s="2"/>
      <c r="L570" s="2"/>
      <c r="M570" s="2"/>
      <c r="N570" s="2"/>
      <c r="O570" s="2"/>
      <c r="P570" s="2"/>
      <c r="Q570" s="2"/>
      <c r="R570" s="2"/>
      <c r="S570" s="2"/>
    </row>
    <row r="571" spans="9:19" ht="14.25" customHeight="1">
      <c r="I571" s="2"/>
      <c r="J571" s="2"/>
      <c r="K571" s="2"/>
      <c r="L571" s="2"/>
      <c r="M571" s="2"/>
      <c r="N571" s="2"/>
      <c r="O571" s="2"/>
      <c r="P571" s="2"/>
      <c r="Q571" s="2"/>
      <c r="R571" s="2"/>
      <c r="S571" s="2"/>
    </row>
    <row r="572" spans="9:19" ht="14.25" customHeight="1">
      <c r="I572" s="2"/>
      <c r="J572" s="2"/>
      <c r="K572" s="2"/>
      <c r="L572" s="2"/>
      <c r="M572" s="2"/>
      <c r="N572" s="2"/>
      <c r="O572" s="2"/>
      <c r="P572" s="2"/>
      <c r="Q572" s="2"/>
      <c r="R572" s="2"/>
      <c r="S572" s="2"/>
    </row>
    <row r="573" spans="9:19" ht="14.25" customHeight="1">
      <c r="I573" s="2"/>
      <c r="J573" s="2"/>
      <c r="K573" s="2"/>
      <c r="L573" s="2"/>
      <c r="M573" s="2"/>
      <c r="N573" s="2"/>
      <c r="O573" s="2"/>
      <c r="P573" s="2"/>
      <c r="Q573" s="2"/>
      <c r="R573" s="2"/>
      <c r="S573" s="2"/>
    </row>
    <row r="574" spans="9:19" ht="14.25" customHeight="1">
      <c r="I574" s="2"/>
      <c r="J574" s="2"/>
      <c r="K574" s="2"/>
      <c r="L574" s="2"/>
      <c r="M574" s="2"/>
      <c r="N574" s="2"/>
      <c r="O574" s="2"/>
      <c r="P574" s="2"/>
      <c r="Q574" s="2"/>
      <c r="R574" s="2"/>
      <c r="S574" s="2"/>
    </row>
    <row r="575" spans="9:19" ht="14.25" customHeight="1">
      <c r="I575" s="2"/>
      <c r="J575" s="2"/>
      <c r="K575" s="2"/>
      <c r="L575" s="2"/>
      <c r="M575" s="2"/>
      <c r="N575" s="2"/>
      <c r="O575" s="2"/>
      <c r="P575" s="2"/>
      <c r="Q575" s="2"/>
      <c r="R575" s="2"/>
      <c r="S575" s="2"/>
    </row>
    <row r="576" spans="9:19" ht="14.25" customHeight="1">
      <c r="I576" s="2"/>
      <c r="J576" s="2"/>
      <c r="K576" s="2"/>
      <c r="L576" s="2"/>
      <c r="M576" s="2"/>
      <c r="N576" s="2"/>
      <c r="O576" s="2"/>
      <c r="P576" s="2"/>
      <c r="Q576" s="2"/>
      <c r="R576" s="2"/>
      <c r="S576" s="2"/>
    </row>
    <row r="577" spans="9:19" ht="14.25" customHeight="1">
      <c r="I577" s="2"/>
      <c r="J577" s="2"/>
      <c r="K577" s="2"/>
      <c r="L577" s="2"/>
      <c r="M577" s="2"/>
      <c r="N577" s="2"/>
      <c r="O577" s="2"/>
      <c r="P577" s="2"/>
      <c r="Q577" s="2"/>
      <c r="R577" s="2"/>
      <c r="S577" s="2"/>
    </row>
    <row r="578" spans="9:19" ht="14.25" customHeight="1">
      <c r="I578" s="2"/>
      <c r="J578" s="2"/>
      <c r="K578" s="2"/>
      <c r="L578" s="2"/>
      <c r="M578" s="2"/>
      <c r="N578" s="2"/>
      <c r="O578" s="2"/>
      <c r="P578" s="2"/>
      <c r="Q578" s="2"/>
      <c r="R578" s="2"/>
      <c r="S578" s="2"/>
    </row>
    <row r="579" spans="9:19" ht="14.25" customHeight="1">
      <c r="I579" s="2"/>
      <c r="J579" s="2"/>
      <c r="K579" s="2"/>
      <c r="L579" s="2"/>
      <c r="M579" s="2"/>
      <c r="N579" s="2"/>
      <c r="O579" s="2"/>
      <c r="P579" s="2"/>
      <c r="Q579" s="2"/>
      <c r="R579" s="2"/>
      <c r="S579" s="2"/>
    </row>
    <row r="580" spans="9:19" ht="14.25" customHeight="1">
      <c r="I580" s="2"/>
      <c r="J580" s="2"/>
      <c r="K580" s="2"/>
      <c r="L580" s="2"/>
      <c r="M580" s="2"/>
      <c r="N580" s="2"/>
      <c r="O580" s="2"/>
      <c r="P580" s="2"/>
      <c r="Q580" s="2"/>
      <c r="R580" s="2"/>
      <c r="S580" s="2"/>
    </row>
    <row r="581" spans="9:19" ht="14.25" customHeight="1">
      <c r="I581" s="2"/>
      <c r="J581" s="2"/>
      <c r="K581" s="2"/>
      <c r="L581" s="2"/>
      <c r="M581" s="2"/>
      <c r="N581" s="2"/>
      <c r="O581" s="2"/>
      <c r="P581" s="2"/>
      <c r="Q581" s="2"/>
      <c r="R581" s="2"/>
      <c r="S581" s="2"/>
    </row>
    <row r="582" spans="9:19" ht="14.25" customHeight="1">
      <c r="I582" s="2"/>
      <c r="J582" s="2"/>
      <c r="K582" s="2"/>
      <c r="L582" s="2"/>
      <c r="M582" s="2"/>
      <c r="N582" s="2"/>
      <c r="O582" s="2"/>
      <c r="P582" s="2"/>
      <c r="Q582" s="2"/>
      <c r="R582" s="2"/>
      <c r="S582" s="2"/>
    </row>
    <row r="583" spans="9:19" ht="14.25" customHeight="1">
      <c r="I583" s="2"/>
      <c r="J583" s="2"/>
      <c r="K583" s="2"/>
      <c r="L583" s="2"/>
      <c r="M583" s="2"/>
      <c r="N583" s="2"/>
      <c r="O583" s="2"/>
      <c r="P583" s="2"/>
      <c r="Q583" s="2"/>
      <c r="R583" s="2"/>
      <c r="S583" s="2"/>
    </row>
    <row r="584" spans="9:19" ht="14.25" customHeight="1">
      <c r="I584" s="2"/>
      <c r="J584" s="2"/>
      <c r="K584" s="2"/>
      <c r="L584" s="2"/>
      <c r="M584" s="2"/>
      <c r="N584" s="2"/>
      <c r="O584" s="2"/>
      <c r="P584" s="2"/>
      <c r="Q584" s="2"/>
      <c r="R584" s="2"/>
      <c r="S584" s="2"/>
    </row>
    <row r="585" spans="9:19" ht="14.25" customHeight="1">
      <c r="I585" s="2"/>
      <c r="J585" s="2"/>
      <c r="K585" s="2"/>
      <c r="L585" s="2"/>
      <c r="M585" s="2"/>
      <c r="N585" s="2"/>
      <c r="O585" s="2"/>
      <c r="P585" s="2"/>
      <c r="Q585" s="2"/>
      <c r="R585" s="2"/>
      <c r="S585" s="2"/>
    </row>
    <row r="586" spans="9:19" ht="14.25" customHeight="1">
      <c r="I586" s="2"/>
      <c r="J586" s="2"/>
      <c r="K586" s="2"/>
      <c r="L586" s="2"/>
      <c r="M586" s="2"/>
      <c r="N586" s="2"/>
      <c r="O586" s="2"/>
      <c r="P586" s="2"/>
      <c r="Q586" s="2"/>
      <c r="R586" s="2"/>
      <c r="S586" s="2"/>
    </row>
    <row r="587" spans="9:19" ht="14.25" customHeight="1">
      <c r="I587" s="2"/>
      <c r="J587" s="2"/>
      <c r="K587" s="2"/>
      <c r="L587" s="2"/>
      <c r="M587" s="2"/>
      <c r="N587" s="2"/>
      <c r="O587" s="2"/>
      <c r="P587" s="2"/>
      <c r="Q587" s="2"/>
      <c r="R587" s="2"/>
      <c r="S587" s="2"/>
    </row>
    <row r="588" spans="9:19" ht="14.25" customHeight="1">
      <c r="I588" s="2"/>
      <c r="J588" s="2"/>
      <c r="K588" s="2"/>
      <c r="L588" s="2"/>
      <c r="M588" s="2"/>
      <c r="N588" s="2"/>
      <c r="O588" s="2"/>
      <c r="P588" s="2"/>
      <c r="Q588" s="2"/>
      <c r="R588" s="2"/>
      <c r="S588" s="2"/>
    </row>
    <row r="589" spans="9:19" ht="14.25" customHeight="1">
      <c r="I589" s="2"/>
      <c r="J589" s="2"/>
      <c r="K589" s="2"/>
      <c r="L589" s="2"/>
      <c r="M589" s="2"/>
      <c r="N589" s="2"/>
      <c r="O589" s="2"/>
      <c r="P589" s="2"/>
      <c r="Q589" s="2"/>
      <c r="R589" s="2"/>
      <c r="S589" s="2"/>
    </row>
    <row r="590" spans="9:19" ht="14.25" customHeight="1">
      <c r="I590" s="2"/>
      <c r="J590" s="2"/>
      <c r="K590" s="2"/>
      <c r="L590" s="2"/>
      <c r="M590" s="2"/>
      <c r="N590" s="2"/>
      <c r="O590" s="2"/>
      <c r="P590" s="2"/>
      <c r="Q590" s="2"/>
      <c r="R590" s="2"/>
      <c r="S590" s="2"/>
    </row>
    <row r="591" spans="9:19" ht="14.25" customHeight="1">
      <c r="I591" s="2"/>
      <c r="J591" s="2"/>
      <c r="K591" s="2"/>
      <c r="L591" s="2"/>
      <c r="M591" s="2"/>
      <c r="N591" s="2"/>
      <c r="O591" s="2"/>
      <c r="P591" s="2"/>
      <c r="Q591" s="2"/>
      <c r="R591" s="2"/>
      <c r="S591" s="2"/>
    </row>
    <row r="592" spans="9:19" ht="14.25" customHeight="1">
      <c r="I592" s="2"/>
      <c r="J592" s="2"/>
      <c r="K592" s="2"/>
      <c r="L592" s="2"/>
      <c r="M592" s="2"/>
      <c r="N592" s="2"/>
      <c r="O592" s="2"/>
      <c r="P592" s="2"/>
      <c r="Q592" s="2"/>
      <c r="R592" s="2"/>
      <c r="S592" s="2"/>
    </row>
    <row r="593" spans="9:19" ht="14.25" customHeight="1">
      <c r="I593" s="2"/>
      <c r="J593" s="2"/>
      <c r="K593" s="2"/>
      <c r="L593" s="2"/>
      <c r="M593" s="2"/>
      <c r="N593" s="2"/>
      <c r="O593" s="2"/>
      <c r="P593" s="2"/>
      <c r="Q593" s="2"/>
      <c r="R593" s="2"/>
      <c r="S593" s="2"/>
    </row>
    <row r="594" spans="9:19" ht="14.25" customHeight="1">
      <c r="I594" s="2"/>
      <c r="J594" s="2"/>
      <c r="K594" s="2"/>
      <c r="L594" s="2"/>
      <c r="M594" s="2"/>
      <c r="N594" s="2"/>
      <c r="O594" s="2"/>
      <c r="P594" s="2"/>
      <c r="Q594" s="2"/>
      <c r="R594" s="2"/>
      <c r="S594" s="2"/>
    </row>
    <row r="595" spans="9:19" ht="14.25" customHeight="1">
      <c r="I595" s="2"/>
      <c r="J595" s="2"/>
      <c r="K595" s="2"/>
      <c r="L595" s="2"/>
      <c r="M595" s="2"/>
      <c r="N595" s="2"/>
      <c r="O595" s="2"/>
      <c r="P595" s="2"/>
      <c r="Q595" s="2"/>
      <c r="R595" s="2"/>
      <c r="S595" s="2"/>
    </row>
    <row r="596" spans="9:19" ht="14.25" customHeight="1">
      <c r="I596" s="2"/>
      <c r="J596" s="2"/>
      <c r="K596" s="2"/>
      <c r="L596" s="2"/>
      <c r="M596" s="2"/>
      <c r="N596" s="2"/>
      <c r="O596" s="2"/>
      <c r="P596" s="2"/>
      <c r="Q596" s="2"/>
      <c r="R596" s="2"/>
      <c r="S596" s="2"/>
    </row>
    <row r="597" spans="9:19" ht="14.25" customHeight="1">
      <c r="I597" s="2"/>
      <c r="J597" s="2"/>
      <c r="K597" s="2"/>
      <c r="L597" s="2"/>
      <c r="M597" s="2"/>
      <c r="N597" s="2"/>
      <c r="O597" s="2"/>
      <c r="P597" s="2"/>
      <c r="Q597" s="2"/>
      <c r="R597" s="2"/>
      <c r="S597" s="2"/>
    </row>
    <row r="598" spans="9:19" ht="14.25" customHeight="1">
      <c r="I598" s="2"/>
      <c r="J598" s="2"/>
      <c r="K598" s="2"/>
      <c r="L598" s="2"/>
      <c r="M598" s="2"/>
      <c r="N598" s="2"/>
      <c r="O598" s="2"/>
      <c r="P598" s="2"/>
      <c r="Q598" s="2"/>
      <c r="R598" s="2"/>
      <c r="S598" s="2"/>
    </row>
    <row r="599" spans="9:19" ht="14.25" customHeight="1">
      <c r="I599" s="2"/>
      <c r="J599" s="2"/>
      <c r="K599" s="2"/>
      <c r="L599" s="2"/>
      <c r="M599" s="2"/>
      <c r="N599" s="2"/>
      <c r="O599" s="2"/>
      <c r="P599" s="2"/>
      <c r="Q599" s="2"/>
      <c r="R599" s="2"/>
      <c r="S599" s="2"/>
    </row>
    <row r="600" spans="9:19" ht="14.25" customHeight="1">
      <c r="I600" s="2"/>
      <c r="J600" s="2"/>
      <c r="K600" s="2"/>
      <c r="L600" s="2"/>
      <c r="M600" s="2"/>
      <c r="N600" s="2"/>
      <c r="O600" s="2"/>
      <c r="P600" s="2"/>
      <c r="Q600" s="2"/>
      <c r="R600" s="2"/>
      <c r="S600" s="2"/>
    </row>
    <row r="601" spans="9:19" ht="14.25" customHeight="1">
      <c r="I601" s="2"/>
      <c r="J601" s="2"/>
      <c r="K601" s="2"/>
      <c r="L601" s="2"/>
      <c r="M601" s="2"/>
      <c r="N601" s="2"/>
      <c r="O601" s="2"/>
      <c r="P601" s="2"/>
      <c r="Q601" s="2"/>
      <c r="R601" s="2"/>
      <c r="S601" s="2"/>
    </row>
    <row r="602" spans="9:19" ht="14.25" customHeight="1">
      <c r="I602" s="2"/>
      <c r="J602" s="2"/>
      <c r="K602" s="2"/>
      <c r="L602" s="2"/>
      <c r="M602" s="2"/>
      <c r="N602" s="2"/>
      <c r="O602" s="2"/>
      <c r="P602" s="2"/>
      <c r="Q602" s="2"/>
      <c r="R602" s="2"/>
      <c r="S602" s="2"/>
    </row>
    <row r="603" spans="9:19" ht="14.25" customHeight="1">
      <c r="I603" s="2"/>
      <c r="J603" s="2"/>
      <c r="K603" s="2"/>
      <c r="L603" s="2"/>
      <c r="M603" s="2"/>
      <c r="N603" s="2"/>
      <c r="O603" s="2"/>
      <c r="P603" s="2"/>
      <c r="Q603" s="2"/>
      <c r="R603" s="2"/>
      <c r="S603" s="2"/>
    </row>
    <row r="604" spans="9:19" ht="14.25" customHeight="1">
      <c r="I604" s="2"/>
      <c r="J604" s="2"/>
      <c r="K604" s="2"/>
      <c r="L604" s="2"/>
      <c r="M604" s="2"/>
      <c r="N604" s="2"/>
      <c r="O604" s="2"/>
      <c r="P604" s="2"/>
      <c r="Q604" s="2"/>
      <c r="R604" s="2"/>
      <c r="S604" s="2"/>
    </row>
    <row r="605" spans="9:19" ht="14.25" customHeight="1">
      <c r="I605" s="2"/>
      <c r="J605" s="2"/>
      <c r="K605" s="2"/>
      <c r="L605" s="2"/>
      <c r="M605" s="2"/>
      <c r="N605" s="2"/>
      <c r="O605" s="2"/>
      <c r="P605" s="2"/>
      <c r="Q605" s="2"/>
      <c r="R605" s="2"/>
      <c r="S605" s="2"/>
    </row>
    <row r="606" spans="9:19" ht="14.25" customHeight="1">
      <c r="I606" s="2"/>
      <c r="J606" s="2"/>
      <c r="K606" s="2"/>
      <c r="L606" s="2"/>
      <c r="M606" s="2"/>
      <c r="N606" s="2"/>
      <c r="O606" s="2"/>
      <c r="P606" s="2"/>
      <c r="Q606" s="2"/>
      <c r="R606" s="2"/>
      <c r="S606" s="2"/>
    </row>
    <row r="607" spans="9:19" ht="14.25" customHeight="1">
      <c r="I607" s="2"/>
      <c r="J607" s="2"/>
      <c r="K607" s="2"/>
      <c r="L607" s="2"/>
      <c r="M607" s="2"/>
      <c r="N607" s="2"/>
      <c r="O607" s="2"/>
      <c r="P607" s="2"/>
      <c r="Q607" s="2"/>
      <c r="R607" s="2"/>
      <c r="S607" s="2"/>
    </row>
    <row r="608" spans="9:19" ht="14.25" customHeight="1">
      <c r="I608" s="2"/>
      <c r="J608" s="2"/>
      <c r="K608" s="2"/>
      <c r="L608" s="2"/>
      <c r="M608" s="2"/>
      <c r="N608" s="2"/>
      <c r="O608" s="2"/>
      <c r="P608" s="2"/>
      <c r="Q608" s="2"/>
      <c r="R608" s="2"/>
      <c r="S608" s="2"/>
    </row>
    <row r="609" spans="9:19" ht="14.25" customHeight="1">
      <c r="I609" s="2"/>
      <c r="J609" s="2"/>
      <c r="K609" s="2"/>
      <c r="L609" s="2"/>
      <c r="M609" s="2"/>
      <c r="N609" s="2"/>
      <c r="O609" s="2"/>
      <c r="P609" s="2"/>
      <c r="Q609" s="2"/>
      <c r="R609" s="2"/>
      <c r="S609" s="2"/>
    </row>
    <row r="610" spans="9:19" ht="14.25" customHeight="1">
      <c r="I610" s="2"/>
      <c r="J610" s="2"/>
      <c r="K610" s="2"/>
      <c r="L610" s="2"/>
      <c r="M610" s="2"/>
      <c r="N610" s="2"/>
      <c r="O610" s="2"/>
      <c r="P610" s="2"/>
      <c r="Q610" s="2"/>
      <c r="R610" s="2"/>
      <c r="S610" s="2"/>
    </row>
    <row r="611" spans="9:19" ht="14.25" customHeight="1">
      <c r="I611" s="2"/>
      <c r="J611" s="2"/>
      <c r="K611" s="2"/>
      <c r="L611" s="2"/>
      <c r="M611" s="2"/>
      <c r="N611" s="2"/>
      <c r="O611" s="2"/>
      <c r="P611" s="2"/>
      <c r="Q611" s="2"/>
      <c r="R611" s="2"/>
      <c r="S611" s="2"/>
    </row>
    <row r="612" spans="9:19" ht="14.25" customHeight="1">
      <c r="I612" s="2"/>
      <c r="J612" s="2"/>
      <c r="K612" s="2"/>
      <c r="L612" s="2"/>
      <c r="M612" s="2"/>
      <c r="N612" s="2"/>
      <c r="O612" s="2"/>
      <c r="P612" s="2"/>
      <c r="Q612" s="2"/>
      <c r="R612" s="2"/>
      <c r="S612" s="2"/>
    </row>
    <row r="613" spans="9:19" ht="14.25" customHeight="1">
      <c r="I613" s="2"/>
      <c r="J613" s="2"/>
      <c r="K613" s="2"/>
      <c r="L613" s="2"/>
      <c r="M613" s="2"/>
      <c r="N613" s="2"/>
      <c r="O613" s="2"/>
      <c r="P613" s="2"/>
      <c r="Q613" s="2"/>
      <c r="R613" s="2"/>
      <c r="S613" s="2"/>
    </row>
    <row r="614" spans="9:19" ht="14.25" customHeight="1">
      <c r="I614" s="2"/>
      <c r="J614" s="2"/>
      <c r="K614" s="2"/>
      <c r="L614" s="2"/>
      <c r="M614" s="2"/>
      <c r="N614" s="2"/>
      <c r="O614" s="2"/>
      <c r="P614" s="2"/>
      <c r="Q614" s="2"/>
      <c r="R614" s="2"/>
      <c r="S614" s="2"/>
    </row>
    <row r="615" spans="9:19" ht="14.25" customHeight="1">
      <c r="I615" s="2"/>
      <c r="J615" s="2"/>
      <c r="K615" s="2"/>
      <c r="L615" s="2"/>
      <c r="M615" s="2"/>
      <c r="N615" s="2"/>
      <c r="O615" s="2"/>
      <c r="P615" s="2"/>
      <c r="Q615" s="2"/>
      <c r="R615" s="2"/>
      <c r="S615" s="2"/>
    </row>
    <row r="616" spans="9:19" ht="14.25" customHeight="1">
      <c r="I616" s="2"/>
      <c r="J616" s="2"/>
      <c r="K616" s="2"/>
      <c r="L616" s="2"/>
      <c r="M616" s="2"/>
      <c r="N616" s="2"/>
      <c r="O616" s="2"/>
      <c r="P616" s="2"/>
      <c r="Q616" s="2"/>
      <c r="R616" s="2"/>
      <c r="S616" s="2"/>
    </row>
    <row r="617" spans="9:19" ht="14.25" customHeight="1">
      <c r="I617" s="2"/>
      <c r="J617" s="2"/>
      <c r="K617" s="2"/>
      <c r="L617" s="2"/>
      <c r="M617" s="2"/>
      <c r="N617" s="2"/>
      <c r="O617" s="2"/>
      <c r="P617" s="2"/>
      <c r="Q617" s="2"/>
      <c r="R617" s="2"/>
      <c r="S617" s="2"/>
    </row>
    <row r="618" spans="9:19" ht="14.25" customHeight="1">
      <c r="I618" s="2"/>
      <c r="J618" s="2"/>
      <c r="K618" s="2"/>
      <c r="L618" s="2"/>
      <c r="M618" s="2"/>
      <c r="N618" s="2"/>
      <c r="O618" s="2"/>
      <c r="P618" s="2"/>
      <c r="Q618" s="2"/>
      <c r="R618" s="2"/>
      <c r="S618" s="2"/>
    </row>
    <row r="619" spans="9:19" ht="14.25" customHeight="1">
      <c r="I619" s="2"/>
      <c r="J619" s="2"/>
      <c r="K619" s="2"/>
      <c r="L619" s="2"/>
      <c r="M619" s="2"/>
      <c r="N619" s="2"/>
      <c r="O619" s="2"/>
      <c r="P619" s="2"/>
      <c r="Q619" s="2"/>
      <c r="R619" s="2"/>
      <c r="S619" s="2"/>
    </row>
    <row r="620" spans="9:19" ht="14.25" customHeight="1">
      <c r="I620" s="2"/>
      <c r="J620" s="2"/>
      <c r="K620" s="2"/>
      <c r="L620" s="2"/>
      <c r="M620" s="2"/>
      <c r="N620" s="2"/>
      <c r="O620" s="2"/>
      <c r="P620" s="2"/>
      <c r="Q620" s="2"/>
      <c r="R620" s="2"/>
      <c r="S620" s="2"/>
    </row>
    <row r="621" spans="9:19" ht="14.25" customHeight="1">
      <c r="I621" s="2"/>
      <c r="J621" s="2"/>
      <c r="K621" s="2"/>
      <c r="L621" s="2"/>
      <c r="M621" s="2"/>
      <c r="N621" s="2"/>
      <c r="O621" s="2"/>
      <c r="P621" s="2"/>
      <c r="Q621" s="2"/>
      <c r="R621" s="2"/>
      <c r="S621" s="2"/>
    </row>
    <row r="622" spans="9:19" ht="14.25" customHeight="1">
      <c r="I622" s="2"/>
      <c r="J622" s="2"/>
      <c r="K622" s="2"/>
      <c r="L622" s="2"/>
      <c r="M622" s="2"/>
      <c r="N622" s="2"/>
      <c r="O622" s="2"/>
      <c r="P622" s="2"/>
      <c r="Q622" s="2"/>
      <c r="R622" s="2"/>
      <c r="S622" s="2"/>
    </row>
    <row r="623" spans="9:19" ht="14.25" customHeight="1">
      <c r="I623" s="2"/>
      <c r="J623" s="2"/>
      <c r="K623" s="2"/>
      <c r="L623" s="2"/>
      <c r="M623" s="2"/>
      <c r="N623" s="2"/>
      <c r="O623" s="2"/>
      <c r="P623" s="2"/>
      <c r="Q623" s="2"/>
      <c r="R623" s="2"/>
      <c r="S623" s="2"/>
    </row>
    <row r="624" spans="9:19" ht="14.25" customHeight="1">
      <c r="I624" s="2"/>
      <c r="J624" s="2"/>
      <c r="K624" s="2"/>
      <c r="L624" s="2"/>
      <c r="M624" s="2"/>
      <c r="N624" s="2"/>
      <c r="O624" s="2"/>
      <c r="P624" s="2"/>
      <c r="Q624" s="2"/>
      <c r="R624" s="2"/>
      <c r="S624" s="2"/>
    </row>
    <row r="625" spans="9:19" ht="14.25" customHeight="1">
      <c r="I625" s="2"/>
      <c r="J625" s="2"/>
      <c r="K625" s="2"/>
      <c r="L625" s="2"/>
      <c r="M625" s="2"/>
      <c r="N625" s="2"/>
      <c r="O625" s="2"/>
      <c r="P625" s="2"/>
      <c r="Q625" s="2"/>
      <c r="R625" s="2"/>
      <c r="S625" s="2"/>
    </row>
    <row r="626" spans="9:19" ht="14.25" customHeight="1">
      <c r="I626" s="2"/>
      <c r="J626" s="2"/>
      <c r="K626" s="2"/>
      <c r="L626" s="2"/>
      <c r="M626" s="2"/>
      <c r="N626" s="2"/>
      <c r="O626" s="2"/>
      <c r="P626" s="2"/>
      <c r="Q626" s="2"/>
      <c r="R626" s="2"/>
      <c r="S626" s="2"/>
    </row>
    <row r="627" spans="9:19" ht="14.25" customHeight="1">
      <c r="I627" s="2"/>
      <c r="J627" s="2"/>
      <c r="K627" s="2"/>
      <c r="L627" s="2"/>
      <c r="M627" s="2"/>
      <c r="N627" s="2"/>
      <c r="O627" s="2"/>
      <c r="P627" s="2"/>
      <c r="Q627" s="2"/>
      <c r="R627" s="2"/>
      <c r="S627" s="2"/>
    </row>
    <row r="628" spans="9:19" ht="14.25" customHeight="1">
      <c r="I628" s="2"/>
      <c r="J628" s="2"/>
      <c r="K628" s="2"/>
      <c r="L628" s="2"/>
      <c r="M628" s="2"/>
      <c r="N628" s="2"/>
      <c r="O628" s="2"/>
      <c r="P628" s="2"/>
      <c r="Q628" s="2"/>
      <c r="R628" s="2"/>
      <c r="S628" s="2"/>
    </row>
    <row r="629" spans="9:19" ht="14.25" customHeight="1">
      <c r="I629" s="2"/>
      <c r="J629" s="2"/>
      <c r="K629" s="2"/>
      <c r="L629" s="2"/>
      <c r="M629" s="2"/>
      <c r="N629" s="2"/>
      <c r="O629" s="2"/>
      <c r="P629" s="2"/>
      <c r="Q629" s="2"/>
      <c r="R629" s="2"/>
      <c r="S629" s="2"/>
    </row>
    <row r="630" spans="9:19" ht="14.25" customHeight="1">
      <c r="I630" s="2"/>
      <c r="J630" s="2"/>
      <c r="K630" s="2"/>
      <c r="L630" s="2"/>
      <c r="M630" s="2"/>
      <c r="N630" s="2"/>
      <c r="O630" s="2"/>
      <c r="P630" s="2"/>
      <c r="Q630" s="2"/>
      <c r="R630" s="2"/>
      <c r="S630" s="2"/>
    </row>
    <row r="631" spans="9:19" ht="14.25" customHeight="1">
      <c r="I631" s="2"/>
      <c r="J631" s="2"/>
      <c r="K631" s="2"/>
      <c r="L631" s="2"/>
      <c r="M631" s="2"/>
      <c r="N631" s="2"/>
      <c r="O631" s="2"/>
      <c r="P631" s="2"/>
      <c r="Q631" s="2"/>
      <c r="R631" s="2"/>
      <c r="S631" s="2"/>
    </row>
    <row r="632" spans="9:19" ht="14.25" customHeight="1">
      <c r="I632" s="2"/>
      <c r="J632" s="2"/>
      <c r="K632" s="2"/>
      <c r="L632" s="2"/>
      <c r="M632" s="2"/>
      <c r="N632" s="2"/>
      <c r="O632" s="2"/>
      <c r="P632" s="2"/>
      <c r="Q632" s="2"/>
      <c r="R632" s="2"/>
      <c r="S632" s="2"/>
    </row>
    <row r="633" spans="9:19" ht="14.25" customHeight="1">
      <c r="I633" s="2"/>
      <c r="J633" s="2"/>
      <c r="K633" s="2"/>
      <c r="L633" s="2"/>
      <c r="M633" s="2"/>
      <c r="N633" s="2"/>
      <c r="O633" s="2"/>
      <c r="P633" s="2"/>
      <c r="Q633" s="2"/>
      <c r="R633" s="2"/>
      <c r="S633" s="2"/>
    </row>
    <row r="634" spans="9:19" ht="14.25" customHeight="1">
      <c r="I634" s="2"/>
      <c r="J634" s="2"/>
      <c r="K634" s="2"/>
      <c r="L634" s="2"/>
      <c r="M634" s="2"/>
      <c r="N634" s="2"/>
      <c r="O634" s="2"/>
      <c r="P634" s="2"/>
      <c r="Q634" s="2"/>
      <c r="R634" s="2"/>
      <c r="S634" s="2"/>
    </row>
    <row r="635" spans="9:19" ht="14.25" customHeight="1">
      <c r="I635" s="2"/>
      <c r="J635" s="2"/>
      <c r="K635" s="2"/>
      <c r="L635" s="2"/>
      <c r="M635" s="2"/>
      <c r="N635" s="2"/>
      <c r="O635" s="2"/>
      <c r="P635" s="2"/>
      <c r="Q635" s="2"/>
      <c r="R635" s="2"/>
      <c r="S635" s="2"/>
    </row>
    <row r="636" spans="9:19" ht="14.25" customHeight="1">
      <c r="I636" s="2"/>
      <c r="J636" s="2"/>
      <c r="K636" s="2"/>
      <c r="L636" s="2"/>
      <c r="M636" s="2"/>
      <c r="N636" s="2"/>
      <c r="O636" s="2"/>
      <c r="P636" s="2"/>
      <c r="Q636" s="2"/>
      <c r="R636" s="2"/>
      <c r="S636" s="2"/>
    </row>
    <row r="637" spans="9:19" ht="14.25" customHeight="1">
      <c r="I637" s="2"/>
      <c r="J637" s="2"/>
      <c r="K637" s="2"/>
      <c r="L637" s="2"/>
      <c r="M637" s="2"/>
      <c r="N637" s="2"/>
      <c r="O637" s="2"/>
      <c r="P637" s="2"/>
      <c r="Q637" s="2"/>
      <c r="R637" s="2"/>
      <c r="S637" s="2"/>
    </row>
    <row r="638" spans="9:19" ht="14.25" customHeight="1">
      <c r="I638" s="2"/>
      <c r="J638" s="2"/>
      <c r="K638" s="2"/>
      <c r="L638" s="2"/>
      <c r="M638" s="2"/>
      <c r="N638" s="2"/>
      <c r="O638" s="2"/>
      <c r="P638" s="2"/>
      <c r="Q638" s="2"/>
      <c r="R638" s="2"/>
      <c r="S638" s="2"/>
    </row>
    <row r="639" spans="9:19" ht="14.25" customHeight="1">
      <c r="I639" s="2"/>
      <c r="J639" s="2"/>
      <c r="K639" s="2"/>
      <c r="L639" s="2"/>
      <c r="M639" s="2"/>
      <c r="N639" s="2"/>
      <c r="O639" s="2"/>
      <c r="P639" s="2"/>
      <c r="Q639" s="2"/>
      <c r="R639" s="2"/>
      <c r="S639" s="2"/>
    </row>
    <row r="640" spans="9:19" ht="14.25" customHeight="1">
      <c r="I640" s="2"/>
      <c r="J640" s="2"/>
      <c r="K640" s="2"/>
      <c r="L640" s="2"/>
      <c r="M640" s="2"/>
      <c r="N640" s="2"/>
      <c r="O640" s="2"/>
      <c r="P640" s="2"/>
      <c r="Q640" s="2"/>
      <c r="R640" s="2"/>
      <c r="S640" s="2"/>
    </row>
    <row r="641" spans="9:19" ht="14.25" customHeight="1">
      <c r="I641" s="2"/>
      <c r="J641" s="2"/>
      <c r="K641" s="2"/>
      <c r="L641" s="2"/>
      <c r="M641" s="2"/>
      <c r="N641" s="2"/>
      <c r="O641" s="2"/>
      <c r="P641" s="2"/>
      <c r="Q641" s="2"/>
      <c r="R641" s="2"/>
      <c r="S641" s="2"/>
    </row>
    <row r="642" spans="9:19" ht="14.25" customHeight="1">
      <c r="I642" s="2"/>
      <c r="J642" s="2"/>
      <c r="K642" s="2"/>
      <c r="L642" s="2"/>
      <c r="M642" s="2"/>
      <c r="N642" s="2"/>
      <c r="O642" s="2"/>
      <c r="P642" s="2"/>
      <c r="Q642" s="2"/>
      <c r="R642" s="2"/>
      <c r="S642" s="2"/>
    </row>
    <row r="643" spans="9:19" ht="14.25" customHeight="1">
      <c r="I643" s="2"/>
      <c r="J643" s="2"/>
      <c r="K643" s="2"/>
      <c r="L643" s="2"/>
      <c r="M643" s="2"/>
      <c r="N643" s="2"/>
      <c r="O643" s="2"/>
      <c r="P643" s="2"/>
      <c r="Q643" s="2"/>
      <c r="R643" s="2"/>
      <c r="S643" s="2"/>
    </row>
    <row r="644" spans="9:19" ht="14.25" customHeight="1">
      <c r="I644" s="2"/>
      <c r="J644" s="2"/>
      <c r="K644" s="2"/>
      <c r="L644" s="2"/>
      <c r="M644" s="2"/>
      <c r="N644" s="2"/>
      <c r="O644" s="2"/>
      <c r="P644" s="2"/>
      <c r="Q644" s="2"/>
      <c r="R644" s="2"/>
      <c r="S644" s="2"/>
    </row>
    <row r="645" spans="9:19" ht="14.25" customHeight="1">
      <c r="I645" s="2"/>
      <c r="J645" s="2"/>
      <c r="K645" s="2"/>
      <c r="L645" s="2"/>
      <c r="M645" s="2"/>
      <c r="N645" s="2"/>
      <c r="O645" s="2"/>
      <c r="P645" s="2"/>
      <c r="Q645" s="2"/>
      <c r="R645" s="2"/>
      <c r="S645" s="2"/>
    </row>
    <row r="646" spans="9:19" ht="14.25" customHeight="1">
      <c r="I646" s="2"/>
      <c r="J646" s="2"/>
      <c r="K646" s="2"/>
      <c r="L646" s="2"/>
      <c r="M646" s="2"/>
      <c r="N646" s="2"/>
      <c r="O646" s="2"/>
      <c r="P646" s="2"/>
      <c r="Q646" s="2"/>
      <c r="R646" s="2"/>
      <c r="S646" s="2"/>
    </row>
    <row r="647" spans="9:19" ht="14.25" customHeight="1">
      <c r="I647" s="2"/>
      <c r="J647" s="2"/>
      <c r="K647" s="2"/>
      <c r="L647" s="2"/>
      <c r="M647" s="2"/>
      <c r="N647" s="2"/>
      <c r="O647" s="2"/>
      <c r="P647" s="2"/>
      <c r="Q647" s="2"/>
      <c r="R647" s="2"/>
      <c r="S647" s="2"/>
    </row>
    <row r="648" spans="9:19" ht="14.25" customHeight="1">
      <c r="I648" s="2"/>
      <c r="J648" s="2"/>
      <c r="K648" s="2"/>
      <c r="L648" s="2"/>
      <c r="M648" s="2"/>
      <c r="N648" s="2"/>
      <c r="O648" s="2"/>
      <c r="P648" s="2"/>
      <c r="Q648" s="2"/>
      <c r="R648" s="2"/>
      <c r="S648" s="2"/>
    </row>
    <row r="649" spans="9:19" ht="14.25" customHeight="1">
      <c r="I649" s="2"/>
      <c r="J649" s="2"/>
      <c r="K649" s="2"/>
      <c r="L649" s="2"/>
      <c r="M649" s="2"/>
      <c r="N649" s="2"/>
      <c r="O649" s="2"/>
      <c r="P649" s="2"/>
      <c r="Q649" s="2"/>
      <c r="R649" s="2"/>
      <c r="S649" s="2"/>
    </row>
    <row r="650" spans="9:19" ht="14.25" customHeight="1">
      <c r="I650" s="2"/>
      <c r="J650" s="2"/>
      <c r="K650" s="2"/>
      <c r="L650" s="2"/>
      <c r="M650" s="2"/>
      <c r="N650" s="2"/>
      <c r="O650" s="2"/>
      <c r="P650" s="2"/>
      <c r="Q650" s="2"/>
      <c r="R650" s="2"/>
      <c r="S650" s="2"/>
    </row>
    <row r="651" spans="9:19" ht="14.25" customHeight="1">
      <c r="I651" s="2"/>
      <c r="J651" s="2"/>
      <c r="K651" s="2"/>
      <c r="L651" s="2"/>
      <c r="M651" s="2"/>
      <c r="N651" s="2"/>
      <c r="O651" s="2"/>
      <c r="P651" s="2"/>
      <c r="Q651" s="2"/>
      <c r="R651" s="2"/>
      <c r="S651" s="2"/>
    </row>
    <row r="652" spans="9:19" ht="14.25" customHeight="1">
      <c r="I652" s="2"/>
      <c r="J652" s="2"/>
      <c r="K652" s="2"/>
      <c r="L652" s="2"/>
      <c r="M652" s="2"/>
      <c r="N652" s="2"/>
      <c r="O652" s="2"/>
      <c r="P652" s="2"/>
      <c r="Q652" s="2"/>
      <c r="R652" s="2"/>
      <c r="S652" s="2"/>
    </row>
    <row r="653" spans="9:19" ht="14.25" customHeight="1">
      <c r="I653" s="2"/>
      <c r="J653" s="2"/>
      <c r="K653" s="2"/>
      <c r="L653" s="2"/>
      <c r="M653" s="2"/>
      <c r="N653" s="2"/>
      <c r="O653" s="2"/>
      <c r="P653" s="2"/>
      <c r="Q653" s="2"/>
      <c r="R653" s="2"/>
      <c r="S653" s="2"/>
    </row>
    <row r="654" spans="9:19" ht="14.25" customHeight="1">
      <c r="I654" s="2"/>
      <c r="J654" s="2"/>
      <c r="K654" s="2"/>
      <c r="L654" s="2"/>
      <c r="M654" s="2"/>
      <c r="N654" s="2"/>
      <c r="O654" s="2"/>
      <c r="P654" s="2"/>
      <c r="Q654" s="2"/>
      <c r="R654" s="2"/>
      <c r="S654" s="2"/>
    </row>
    <row r="655" spans="9:19" ht="14.25" customHeight="1">
      <c r="I655" s="2"/>
      <c r="J655" s="2"/>
      <c r="K655" s="2"/>
      <c r="L655" s="2"/>
      <c r="M655" s="2"/>
      <c r="N655" s="2"/>
      <c r="O655" s="2"/>
      <c r="P655" s="2"/>
      <c r="Q655" s="2"/>
      <c r="R655" s="2"/>
      <c r="S655" s="2"/>
    </row>
    <row r="656" spans="9:19" ht="14.25" customHeight="1">
      <c r="I656" s="2"/>
      <c r="J656" s="2"/>
      <c r="K656" s="2"/>
      <c r="L656" s="2"/>
      <c r="M656" s="2"/>
      <c r="N656" s="2"/>
      <c r="O656" s="2"/>
      <c r="P656" s="2"/>
      <c r="Q656" s="2"/>
      <c r="R656" s="2"/>
      <c r="S656" s="2"/>
    </row>
    <row r="657" spans="9:19" ht="14.25" customHeight="1">
      <c r="I657" s="2"/>
      <c r="J657" s="2"/>
      <c r="K657" s="2"/>
      <c r="L657" s="2"/>
      <c r="M657" s="2"/>
      <c r="N657" s="2"/>
      <c r="O657" s="2"/>
      <c r="P657" s="2"/>
      <c r="Q657" s="2"/>
      <c r="R657" s="2"/>
      <c r="S657" s="2"/>
    </row>
    <row r="658" spans="9:19" ht="14.25" customHeight="1">
      <c r="I658" s="2"/>
      <c r="J658" s="2"/>
      <c r="K658" s="2"/>
      <c r="L658" s="2"/>
      <c r="M658" s="2"/>
      <c r="N658" s="2"/>
      <c r="O658" s="2"/>
      <c r="P658" s="2"/>
      <c r="Q658" s="2"/>
      <c r="R658" s="2"/>
      <c r="S658" s="2"/>
    </row>
    <row r="659" spans="9:19" ht="14.25" customHeight="1">
      <c r="I659" s="2"/>
      <c r="J659" s="2"/>
      <c r="K659" s="2"/>
      <c r="L659" s="2"/>
      <c r="M659" s="2"/>
      <c r="N659" s="2"/>
      <c r="O659" s="2"/>
      <c r="P659" s="2"/>
      <c r="Q659" s="2"/>
      <c r="R659" s="2"/>
      <c r="S659" s="2"/>
    </row>
    <row r="660" spans="9:19" ht="14.25" customHeight="1">
      <c r="I660" s="2"/>
      <c r="J660" s="2"/>
      <c r="K660" s="2"/>
      <c r="L660" s="2"/>
      <c r="M660" s="2"/>
      <c r="N660" s="2"/>
      <c r="O660" s="2"/>
      <c r="P660" s="2"/>
      <c r="Q660" s="2"/>
      <c r="R660" s="2"/>
      <c r="S660" s="2"/>
    </row>
    <row r="661" spans="9:19" ht="14.25" customHeight="1">
      <c r="I661" s="2"/>
      <c r="J661" s="2"/>
      <c r="K661" s="2"/>
      <c r="L661" s="2"/>
      <c r="M661" s="2"/>
      <c r="N661" s="2"/>
      <c r="O661" s="2"/>
      <c r="P661" s="2"/>
      <c r="Q661" s="2"/>
      <c r="R661" s="2"/>
      <c r="S661" s="2"/>
    </row>
    <row r="662" spans="9:19" ht="14.25" customHeight="1">
      <c r="I662" s="2"/>
      <c r="J662" s="2"/>
      <c r="K662" s="2"/>
      <c r="L662" s="2"/>
      <c r="M662" s="2"/>
      <c r="N662" s="2"/>
      <c r="O662" s="2"/>
      <c r="P662" s="2"/>
      <c r="Q662" s="2"/>
      <c r="R662" s="2"/>
      <c r="S662" s="2"/>
    </row>
    <row r="663" spans="9:19" ht="14.25" customHeight="1">
      <c r="I663" s="2"/>
      <c r="J663" s="2"/>
      <c r="K663" s="2"/>
      <c r="L663" s="2"/>
      <c r="M663" s="2"/>
      <c r="N663" s="2"/>
      <c r="O663" s="2"/>
      <c r="P663" s="2"/>
      <c r="Q663" s="2"/>
      <c r="R663" s="2"/>
      <c r="S663" s="2"/>
    </row>
    <row r="664" spans="9:19" ht="14.25" customHeight="1">
      <c r="I664" s="2"/>
      <c r="J664" s="2"/>
      <c r="K664" s="2"/>
      <c r="L664" s="2"/>
      <c r="M664" s="2"/>
      <c r="N664" s="2"/>
      <c r="O664" s="2"/>
      <c r="P664" s="2"/>
      <c r="Q664" s="2"/>
      <c r="R664" s="2"/>
      <c r="S664" s="2"/>
    </row>
    <row r="665" spans="9:19" ht="14.25" customHeight="1">
      <c r="I665" s="2"/>
      <c r="J665" s="2"/>
      <c r="K665" s="2"/>
      <c r="L665" s="2"/>
      <c r="M665" s="2"/>
      <c r="N665" s="2"/>
      <c r="O665" s="2"/>
      <c r="P665" s="2"/>
      <c r="Q665" s="2"/>
      <c r="R665" s="2"/>
      <c r="S665" s="2"/>
    </row>
    <row r="666" spans="9:19" ht="14.25" customHeight="1">
      <c r="I666" s="2"/>
      <c r="J666" s="2"/>
      <c r="K666" s="2"/>
      <c r="L666" s="2"/>
      <c r="M666" s="2"/>
      <c r="N666" s="2"/>
      <c r="O666" s="2"/>
      <c r="P666" s="2"/>
      <c r="Q666" s="2"/>
      <c r="R666" s="2"/>
      <c r="S666" s="2"/>
    </row>
    <row r="667" spans="9:19" ht="14.25" customHeight="1">
      <c r="I667" s="2"/>
      <c r="J667" s="2"/>
      <c r="K667" s="2"/>
      <c r="L667" s="2"/>
      <c r="M667" s="2"/>
      <c r="N667" s="2"/>
      <c r="O667" s="2"/>
      <c r="P667" s="2"/>
      <c r="Q667" s="2"/>
      <c r="R667" s="2"/>
      <c r="S667" s="2"/>
    </row>
    <row r="668" spans="9:19" ht="14.25" customHeight="1">
      <c r="I668" s="2"/>
      <c r="J668" s="2"/>
      <c r="K668" s="2"/>
      <c r="L668" s="2"/>
      <c r="M668" s="2"/>
      <c r="N668" s="2"/>
      <c r="O668" s="2"/>
      <c r="P668" s="2"/>
      <c r="Q668" s="2"/>
      <c r="R668" s="2"/>
      <c r="S668" s="2"/>
    </row>
    <row r="669" spans="9:19" ht="14.25" customHeight="1">
      <c r="I669" s="2"/>
      <c r="J669" s="2"/>
      <c r="K669" s="2"/>
      <c r="L669" s="2"/>
      <c r="M669" s="2"/>
      <c r="N669" s="2"/>
      <c r="O669" s="2"/>
      <c r="P669" s="2"/>
      <c r="Q669" s="2"/>
      <c r="R669" s="2"/>
      <c r="S669" s="2"/>
    </row>
    <row r="670" spans="9:19" ht="14.25" customHeight="1">
      <c r="I670" s="2"/>
      <c r="J670" s="2"/>
      <c r="K670" s="2"/>
      <c r="L670" s="2"/>
      <c r="M670" s="2"/>
      <c r="N670" s="2"/>
      <c r="O670" s="2"/>
      <c r="P670" s="2"/>
      <c r="Q670" s="2"/>
      <c r="R670" s="2"/>
      <c r="S670" s="2"/>
    </row>
    <row r="671" spans="9:19" ht="14.25" customHeight="1">
      <c r="I671" s="2"/>
      <c r="J671" s="2"/>
      <c r="K671" s="2"/>
      <c r="L671" s="2"/>
      <c r="M671" s="2"/>
      <c r="N671" s="2"/>
      <c r="O671" s="2"/>
      <c r="P671" s="2"/>
      <c r="Q671" s="2"/>
      <c r="R671" s="2"/>
      <c r="S671" s="2"/>
    </row>
    <row r="672" spans="9:19" ht="14.25" customHeight="1">
      <c r="I672" s="2"/>
      <c r="J672" s="2"/>
      <c r="K672" s="2"/>
      <c r="L672" s="2"/>
      <c r="M672" s="2"/>
      <c r="N672" s="2"/>
      <c r="O672" s="2"/>
      <c r="P672" s="2"/>
      <c r="Q672" s="2"/>
      <c r="R672" s="2"/>
      <c r="S672" s="2"/>
    </row>
    <row r="673" spans="9:19" ht="14.25" customHeight="1">
      <c r="I673" s="2"/>
      <c r="J673" s="2"/>
      <c r="K673" s="2"/>
      <c r="L673" s="2"/>
      <c r="M673" s="2"/>
      <c r="N673" s="2"/>
      <c r="O673" s="2"/>
      <c r="P673" s="2"/>
      <c r="Q673" s="2"/>
      <c r="R673" s="2"/>
      <c r="S673" s="2"/>
    </row>
    <row r="674" spans="9:19" ht="14.25" customHeight="1">
      <c r="I674" s="2"/>
      <c r="J674" s="2"/>
      <c r="K674" s="2"/>
      <c r="L674" s="2"/>
      <c r="M674" s="2"/>
      <c r="N674" s="2"/>
      <c r="O674" s="2"/>
      <c r="P674" s="2"/>
      <c r="Q674" s="2"/>
      <c r="R674" s="2"/>
      <c r="S674" s="2"/>
    </row>
    <row r="675" spans="9:19" ht="14.25" customHeight="1">
      <c r="I675" s="2"/>
      <c r="J675" s="2"/>
      <c r="K675" s="2"/>
      <c r="L675" s="2"/>
      <c r="M675" s="2"/>
      <c r="N675" s="2"/>
      <c r="O675" s="2"/>
      <c r="P675" s="2"/>
      <c r="Q675" s="2"/>
      <c r="R675" s="2"/>
      <c r="S675" s="2"/>
    </row>
    <row r="676" spans="9:19" ht="14.25" customHeight="1">
      <c r="I676" s="2"/>
      <c r="J676" s="2"/>
      <c r="K676" s="2"/>
      <c r="L676" s="2"/>
      <c r="M676" s="2"/>
      <c r="N676" s="2"/>
      <c r="O676" s="2"/>
      <c r="P676" s="2"/>
      <c r="Q676" s="2"/>
      <c r="R676" s="2"/>
      <c r="S676" s="2"/>
    </row>
    <row r="677" spans="9:19" ht="14.25" customHeight="1">
      <c r="I677" s="2"/>
      <c r="J677" s="2"/>
      <c r="K677" s="2"/>
      <c r="L677" s="2"/>
      <c r="M677" s="2"/>
      <c r="N677" s="2"/>
      <c r="O677" s="2"/>
      <c r="P677" s="2"/>
      <c r="Q677" s="2"/>
      <c r="R677" s="2"/>
      <c r="S677" s="2"/>
    </row>
    <row r="678" spans="9:19" ht="14.25" customHeight="1">
      <c r="I678" s="2"/>
      <c r="J678" s="2"/>
      <c r="K678" s="2"/>
      <c r="L678" s="2"/>
      <c r="M678" s="2"/>
      <c r="N678" s="2"/>
      <c r="O678" s="2"/>
      <c r="P678" s="2"/>
      <c r="Q678" s="2"/>
      <c r="R678" s="2"/>
      <c r="S678" s="2"/>
    </row>
    <row r="679" spans="9:19" ht="14.25" customHeight="1">
      <c r="I679" s="2"/>
      <c r="J679" s="2"/>
      <c r="K679" s="2"/>
      <c r="L679" s="2"/>
      <c r="M679" s="2"/>
      <c r="N679" s="2"/>
      <c r="O679" s="2"/>
      <c r="P679" s="2"/>
      <c r="Q679" s="2"/>
      <c r="R679" s="2"/>
      <c r="S679" s="2"/>
    </row>
    <row r="680" spans="9:19" ht="14.25" customHeight="1">
      <c r="I680" s="2"/>
      <c r="J680" s="2"/>
      <c r="K680" s="2"/>
      <c r="L680" s="2"/>
      <c r="M680" s="2"/>
      <c r="N680" s="2"/>
      <c r="O680" s="2"/>
      <c r="P680" s="2"/>
      <c r="Q680" s="2"/>
      <c r="R680" s="2"/>
      <c r="S680" s="2"/>
    </row>
    <row r="681" spans="9:19" ht="14.25" customHeight="1">
      <c r="I681" s="2"/>
      <c r="J681" s="2"/>
      <c r="K681" s="2"/>
      <c r="L681" s="2"/>
      <c r="M681" s="2"/>
      <c r="N681" s="2"/>
      <c r="O681" s="2"/>
      <c r="P681" s="2"/>
      <c r="Q681" s="2"/>
      <c r="R681" s="2"/>
      <c r="S681" s="2"/>
    </row>
    <row r="682" spans="9:19" ht="14.25" customHeight="1">
      <c r="I682" s="2"/>
      <c r="J682" s="2"/>
      <c r="K682" s="2"/>
      <c r="L682" s="2"/>
      <c r="M682" s="2"/>
      <c r="N682" s="2"/>
      <c r="O682" s="2"/>
      <c r="P682" s="2"/>
      <c r="Q682" s="2"/>
      <c r="R682" s="2"/>
      <c r="S682" s="2"/>
    </row>
    <row r="683" spans="9:19" ht="14.25" customHeight="1">
      <c r="I683" s="2"/>
      <c r="J683" s="2"/>
      <c r="K683" s="2"/>
      <c r="L683" s="2"/>
      <c r="M683" s="2"/>
      <c r="N683" s="2"/>
      <c r="O683" s="2"/>
      <c r="P683" s="2"/>
      <c r="Q683" s="2"/>
      <c r="R683" s="2"/>
      <c r="S683" s="2"/>
    </row>
    <row r="684" spans="9:19" ht="14.25" customHeight="1">
      <c r="I684" s="2"/>
      <c r="J684" s="2"/>
      <c r="K684" s="2"/>
      <c r="L684" s="2"/>
      <c r="M684" s="2"/>
      <c r="N684" s="2"/>
      <c r="O684" s="2"/>
      <c r="P684" s="2"/>
      <c r="Q684" s="2"/>
      <c r="R684" s="2"/>
      <c r="S684" s="2"/>
    </row>
    <row r="685" spans="9:19" ht="14.25" customHeight="1">
      <c r="I685" s="2"/>
      <c r="J685" s="2"/>
      <c r="K685" s="2"/>
      <c r="L685" s="2"/>
      <c r="M685" s="2"/>
      <c r="N685" s="2"/>
      <c r="O685" s="2"/>
      <c r="P685" s="2"/>
      <c r="Q685" s="2"/>
      <c r="R685" s="2"/>
      <c r="S685" s="2"/>
    </row>
    <row r="686" spans="9:19" ht="14.25" customHeight="1">
      <c r="I686" s="2"/>
      <c r="J686" s="2"/>
      <c r="K686" s="2"/>
      <c r="L686" s="2"/>
      <c r="M686" s="2"/>
      <c r="N686" s="2"/>
      <c r="O686" s="2"/>
      <c r="P686" s="2"/>
      <c r="Q686" s="2"/>
      <c r="R686" s="2"/>
      <c r="S686" s="2"/>
    </row>
    <row r="687" spans="9:19" ht="14.25" customHeight="1">
      <c r="I687" s="2"/>
      <c r="J687" s="2"/>
      <c r="K687" s="2"/>
      <c r="L687" s="2"/>
      <c r="M687" s="2"/>
      <c r="N687" s="2"/>
      <c r="O687" s="2"/>
      <c r="P687" s="2"/>
      <c r="Q687" s="2"/>
      <c r="R687" s="2"/>
      <c r="S687" s="2"/>
    </row>
    <row r="688" spans="9:19" ht="14.25" customHeight="1">
      <c r="I688" s="2"/>
      <c r="J688" s="2"/>
      <c r="K688" s="2"/>
      <c r="L688" s="2"/>
      <c r="M688" s="2"/>
      <c r="N688" s="2"/>
      <c r="O688" s="2"/>
      <c r="P688" s="2"/>
      <c r="Q688" s="2"/>
      <c r="R688" s="2"/>
      <c r="S688" s="2"/>
    </row>
    <row r="689" spans="9:19" ht="14.25" customHeight="1">
      <c r="I689" s="2"/>
      <c r="J689" s="2"/>
      <c r="K689" s="2"/>
      <c r="L689" s="2"/>
      <c r="M689" s="2"/>
      <c r="N689" s="2"/>
      <c r="O689" s="2"/>
      <c r="P689" s="2"/>
      <c r="Q689" s="2"/>
      <c r="R689" s="2"/>
      <c r="S689" s="2"/>
    </row>
    <row r="690" spans="9:19" ht="14.25" customHeight="1">
      <c r="I690" s="2"/>
      <c r="J690" s="2"/>
      <c r="K690" s="2"/>
      <c r="L690" s="2"/>
      <c r="M690" s="2"/>
      <c r="N690" s="2"/>
      <c r="O690" s="2"/>
      <c r="P690" s="2"/>
      <c r="Q690" s="2"/>
      <c r="R690" s="2"/>
      <c r="S690" s="2"/>
    </row>
    <row r="691" spans="9:19" ht="14.25" customHeight="1">
      <c r="I691" s="2"/>
      <c r="J691" s="2"/>
      <c r="K691" s="2"/>
      <c r="L691" s="2"/>
      <c r="M691" s="2"/>
      <c r="N691" s="2"/>
      <c r="O691" s="2"/>
      <c r="P691" s="2"/>
      <c r="Q691" s="2"/>
      <c r="R691" s="2"/>
      <c r="S691" s="2"/>
    </row>
    <row r="692" spans="9:19" ht="14.25" customHeight="1">
      <c r="I692" s="2"/>
      <c r="J692" s="2"/>
      <c r="K692" s="2"/>
      <c r="L692" s="2"/>
      <c r="M692" s="2"/>
      <c r="N692" s="2"/>
      <c r="O692" s="2"/>
      <c r="P692" s="2"/>
      <c r="Q692" s="2"/>
      <c r="R692" s="2"/>
      <c r="S692" s="2"/>
    </row>
    <row r="693" spans="9:19" ht="14.25" customHeight="1">
      <c r="I693" s="2"/>
      <c r="J693" s="2"/>
      <c r="K693" s="2"/>
      <c r="L693" s="2"/>
      <c r="M693" s="2"/>
      <c r="N693" s="2"/>
      <c r="O693" s="2"/>
      <c r="P693" s="2"/>
      <c r="Q693" s="2"/>
      <c r="R693" s="2"/>
      <c r="S693" s="2"/>
    </row>
    <row r="694" spans="9:19" ht="14.25" customHeight="1">
      <c r="I694" s="2"/>
      <c r="J694" s="2"/>
      <c r="K694" s="2"/>
      <c r="L694" s="2"/>
      <c r="M694" s="2"/>
      <c r="N694" s="2"/>
      <c r="O694" s="2"/>
      <c r="P694" s="2"/>
      <c r="Q694" s="2"/>
      <c r="R694" s="2"/>
      <c r="S694" s="2"/>
    </row>
    <row r="695" spans="9:19" ht="14.25" customHeight="1">
      <c r="I695" s="2"/>
      <c r="J695" s="2"/>
      <c r="K695" s="2"/>
      <c r="L695" s="2"/>
      <c r="M695" s="2"/>
      <c r="N695" s="2"/>
      <c r="O695" s="2"/>
      <c r="P695" s="2"/>
      <c r="Q695" s="2"/>
      <c r="R695" s="2"/>
      <c r="S695" s="2"/>
    </row>
    <row r="696" spans="9:19" ht="14.25" customHeight="1">
      <c r="I696" s="2"/>
      <c r="J696" s="2"/>
      <c r="K696" s="2"/>
      <c r="L696" s="2"/>
      <c r="M696" s="2"/>
      <c r="N696" s="2"/>
      <c r="O696" s="2"/>
      <c r="P696" s="2"/>
      <c r="Q696" s="2"/>
      <c r="R696" s="2"/>
      <c r="S696" s="2"/>
    </row>
    <row r="697" spans="9:19" ht="14.25" customHeight="1">
      <c r="I697" s="2"/>
      <c r="J697" s="2"/>
      <c r="K697" s="2"/>
      <c r="L697" s="2"/>
      <c r="M697" s="2"/>
      <c r="N697" s="2"/>
      <c r="O697" s="2"/>
      <c r="P697" s="2"/>
      <c r="Q697" s="2"/>
      <c r="R697" s="2"/>
      <c r="S697" s="2"/>
    </row>
    <row r="698" spans="9:19" ht="14.25" customHeight="1">
      <c r="I698" s="2"/>
      <c r="J698" s="2"/>
      <c r="K698" s="2"/>
      <c r="L698" s="2"/>
      <c r="M698" s="2"/>
      <c r="N698" s="2"/>
      <c r="O698" s="2"/>
      <c r="P698" s="2"/>
      <c r="Q698" s="2"/>
      <c r="R698" s="2"/>
      <c r="S698" s="2"/>
    </row>
    <row r="699" spans="9:19" ht="14.25" customHeight="1">
      <c r="I699" s="2"/>
      <c r="J699" s="2"/>
      <c r="K699" s="2"/>
      <c r="L699" s="2"/>
      <c r="M699" s="2"/>
      <c r="N699" s="2"/>
      <c r="O699" s="2"/>
      <c r="P699" s="2"/>
      <c r="Q699" s="2"/>
      <c r="R699" s="2"/>
      <c r="S699" s="2"/>
    </row>
    <row r="700" spans="9:19" ht="14.25" customHeight="1">
      <c r="I700" s="2"/>
      <c r="J700" s="2"/>
      <c r="K700" s="2"/>
      <c r="L700" s="2"/>
      <c r="M700" s="2"/>
      <c r="N700" s="2"/>
      <c r="O700" s="2"/>
      <c r="P700" s="2"/>
      <c r="Q700" s="2"/>
      <c r="R700" s="2"/>
      <c r="S700" s="2"/>
    </row>
    <row r="701" spans="9:19" ht="14.25" customHeight="1">
      <c r="I701" s="2"/>
      <c r="J701" s="2"/>
      <c r="K701" s="2"/>
      <c r="L701" s="2"/>
      <c r="M701" s="2"/>
      <c r="N701" s="2"/>
      <c r="O701" s="2"/>
      <c r="P701" s="2"/>
      <c r="Q701" s="2"/>
      <c r="R701" s="2"/>
      <c r="S701" s="2"/>
    </row>
    <row r="702" spans="9:19" ht="14.25" customHeight="1">
      <c r="I702" s="2"/>
      <c r="J702" s="2"/>
      <c r="K702" s="2"/>
      <c r="L702" s="2"/>
      <c r="M702" s="2"/>
      <c r="N702" s="2"/>
      <c r="O702" s="2"/>
      <c r="P702" s="2"/>
      <c r="Q702" s="2"/>
      <c r="R702" s="2"/>
      <c r="S702" s="2"/>
    </row>
    <row r="703" spans="9:19" ht="14.25" customHeight="1">
      <c r="I703" s="2"/>
      <c r="J703" s="2"/>
      <c r="K703" s="2"/>
      <c r="L703" s="2"/>
      <c r="M703" s="2"/>
      <c r="N703" s="2"/>
      <c r="O703" s="2"/>
      <c r="P703" s="2"/>
      <c r="Q703" s="2"/>
      <c r="R703" s="2"/>
      <c r="S703" s="2"/>
    </row>
    <row r="704" spans="9:19" ht="14.25" customHeight="1">
      <c r="I704" s="2"/>
      <c r="J704" s="2"/>
      <c r="K704" s="2"/>
      <c r="L704" s="2"/>
      <c r="M704" s="2"/>
      <c r="N704" s="2"/>
      <c r="O704" s="2"/>
      <c r="P704" s="2"/>
      <c r="Q704" s="2"/>
      <c r="R704" s="2"/>
      <c r="S704" s="2"/>
    </row>
    <row r="705" spans="9:19" ht="14.25" customHeight="1">
      <c r="I705" s="2"/>
      <c r="J705" s="2"/>
      <c r="K705" s="2"/>
      <c r="L705" s="2"/>
      <c r="M705" s="2"/>
      <c r="N705" s="2"/>
      <c r="O705" s="2"/>
      <c r="P705" s="2"/>
      <c r="Q705" s="2"/>
      <c r="R705" s="2"/>
      <c r="S705" s="2"/>
    </row>
    <row r="706" spans="9:19" ht="14.25" customHeight="1">
      <c r="I706" s="2"/>
      <c r="J706" s="2"/>
      <c r="K706" s="2"/>
      <c r="L706" s="2"/>
      <c r="M706" s="2"/>
      <c r="N706" s="2"/>
      <c r="O706" s="2"/>
      <c r="P706" s="2"/>
      <c r="Q706" s="2"/>
      <c r="R706" s="2"/>
      <c r="S706" s="2"/>
    </row>
    <row r="707" spans="9:19" ht="14.25" customHeight="1">
      <c r="I707" s="2"/>
      <c r="J707" s="2"/>
      <c r="K707" s="2"/>
      <c r="L707" s="2"/>
      <c r="M707" s="2"/>
      <c r="N707" s="2"/>
      <c r="O707" s="2"/>
      <c r="P707" s="2"/>
      <c r="Q707" s="2"/>
      <c r="R707" s="2"/>
      <c r="S707" s="2"/>
    </row>
    <row r="708" spans="9:19" ht="14.25" customHeight="1">
      <c r="I708" s="2"/>
      <c r="J708" s="2"/>
      <c r="K708" s="2"/>
      <c r="L708" s="2"/>
      <c r="M708" s="2"/>
      <c r="N708" s="2"/>
      <c r="O708" s="2"/>
      <c r="P708" s="2"/>
      <c r="Q708" s="2"/>
      <c r="R708" s="2"/>
      <c r="S708" s="2"/>
    </row>
    <row r="709" spans="9:19" ht="14.25" customHeight="1">
      <c r="I709" s="2"/>
      <c r="J709" s="2"/>
      <c r="K709" s="2"/>
      <c r="L709" s="2"/>
      <c r="M709" s="2"/>
      <c r="N709" s="2"/>
      <c r="O709" s="2"/>
      <c r="P709" s="2"/>
      <c r="Q709" s="2"/>
      <c r="R709" s="2"/>
      <c r="S709" s="2"/>
    </row>
    <row r="710" spans="9:19" ht="14.25" customHeight="1">
      <c r="I710" s="2"/>
      <c r="J710" s="2"/>
      <c r="K710" s="2"/>
      <c r="L710" s="2"/>
      <c r="M710" s="2"/>
      <c r="N710" s="2"/>
      <c r="O710" s="2"/>
      <c r="P710" s="2"/>
      <c r="Q710" s="2"/>
      <c r="R710" s="2"/>
      <c r="S710" s="2"/>
    </row>
    <row r="711" spans="9:19" ht="14.25" customHeight="1">
      <c r="I711" s="2"/>
      <c r="J711" s="2"/>
      <c r="K711" s="2"/>
      <c r="L711" s="2"/>
      <c r="M711" s="2"/>
      <c r="N711" s="2"/>
      <c r="O711" s="2"/>
      <c r="P711" s="2"/>
      <c r="Q711" s="2"/>
      <c r="R711" s="2"/>
      <c r="S711" s="2"/>
    </row>
    <row r="712" spans="9:19" ht="14.25" customHeight="1">
      <c r="I712" s="2"/>
      <c r="J712" s="2"/>
      <c r="K712" s="2"/>
      <c r="L712" s="2"/>
      <c r="M712" s="2"/>
      <c r="N712" s="2"/>
      <c r="O712" s="2"/>
      <c r="P712" s="2"/>
      <c r="Q712" s="2"/>
      <c r="R712" s="2"/>
      <c r="S712" s="2"/>
    </row>
    <row r="713" spans="9:19" ht="14.25" customHeight="1">
      <c r="I713" s="2"/>
      <c r="J713" s="2"/>
      <c r="K713" s="2"/>
      <c r="L713" s="2"/>
      <c r="M713" s="2"/>
      <c r="N713" s="2"/>
      <c r="O713" s="2"/>
      <c r="P713" s="2"/>
      <c r="Q713" s="2"/>
      <c r="R713" s="2"/>
      <c r="S713" s="2"/>
    </row>
    <row r="714" spans="9:19" ht="14.25" customHeight="1">
      <c r="I714" s="2"/>
      <c r="J714" s="2"/>
      <c r="K714" s="2"/>
      <c r="L714" s="2"/>
      <c r="M714" s="2"/>
      <c r="N714" s="2"/>
      <c r="O714" s="2"/>
      <c r="P714" s="2"/>
      <c r="Q714" s="2"/>
      <c r="R714" s="2"/>
      <c r="S714" s="2"/>
    </row>
    <row r="715" spans="9:19" ht="14.25" customHeight="1">
      <c r="I715" s="2"/>
      <c r="J715" s="2"/>
      <c r="K715" s="2"/>
      <c r="L715" s="2"/>
      <c r="M715" s="2"/>
      <c r="N715" s="2"/>
      <c r="O715" s="2"/>
      <c r="P715" s="2"/>
      <c r="Q715" s="2"/>
      <c r="R715" s="2"/>
      <c r="S715" s="2"/>
    </row>
    <row r="716" spans="9:19" ht="14.25" customHeight="1">
      <c r="I716" s="2"/>
      <c r="J716" s="2"/>
      <c r="K716" s="2"/>
      <c r="L716" s="2"/>
      <c r="M716" s="2"/>
      <c r="N716" s="2"/>
      <c r="O716" s="2"/>
      <c r="P716" s="2"/>
      <c r="Q716" s="2"/>
      <c r="R716" s="2"/>
      <c r="S716" s="2"/>
    </row>
    <row r="717" spans="9:19" ht="14.25" customHeight="1">
      <c r="I717" s="2"/>
      <c r="J717" s="2"/>
      <c r="K717" s="2"/>
      <c r="L717" s="2"/>
      <c r="M717" s="2"/>
      <c r="N717" s="2"/>
      <c r="O717" s="2"/>
      <c r="P717" s="2"/>
      <c r="Q717" s="2"/>
      <c r="R717" s="2"/>
      <c r="S717" s="2"/>
    </row>
    <row r="718" spans="9:19" ht="14.25" customHeight="1">
      <c r="I718" s="2"/>
      <c r="J718" s="2"/>
      <c r="K718" s="2"/>
      <c r="L718" s="2"/>
      <c r="M718" s="2"/>
      <c r="N718" s="2"/>
      <c r="O718" s="2"/>
      <c r="P718" s="2"/>
      <c r="Q718" s="2"/>
      <c r="R718" s="2"/>
      <c r="S718" s="2"/>
    </row>
    <row r="719" spans="9:19" ht="14.25" customHeight="1">
      <c r="I719" s="2"/>
      <c r="J719" s="2"/>
      <c r="K719" s="2"/>
      <c r="L719" s="2"/>
      <c r="M719" s="2"/>
      <c r="N719" s="2"/>
      <c r="O719" s="2"/>
      <c r="P719" s="2"/>
      <c r="Q719" s="2"/>
      <c r="R719" s="2"/>
      <c r="S719" s="2"/>
    </row>
    <row r="720" spans="9:19" ht="14.25" customHeight="1">
      <c r="I720" s="2"/>
      <c r="J720" s="2"/>
      <c r="K720" s="2"/>
      <c r="L720" s="2"/>
      <c r="M720" s="2"/>
      <c r="N720" s="2"/>
      <c r="O720" s="2"/>
      <c r="P720" s="2"/>
      <c r="Q720" s="2"/>
      <c r="R720" s="2"/>
      <c r="S720" s="2"/>
    </row>
    <row r="721" spans="9:19" ht="14.25" customHeight="1">
      <c r="I721" s="2"/>
      <c r="J721" s="2"/>
      <c r="K721" s="2"/>
      <c r="L721" s="2"/>
      <c r="M721" s="2"/>
      <c r="N721" s="2"/>
      <c r="O721" s="2"/>
      <c r="P721" s="2"/>
      <c r="Q721" s="2"/>
      <c r="R721" s="2"/>
      <c r="S721" s="2"/>
    </row>
    <row r="722" spans="9:19" ht="14.25" customHeight="1">
      <c r="I722" s="2"/>
      <c r="J722" s="2"/>
      <c r="K722" s="2"/>
      <c r="L722" s="2"/>
      <c r="M722" s="2"/>
      <c r="N722" s="2"/>
      <c r="O722" s="2"/>
      <c r="P722" s="2"/>
      <c r="Q722" s="2"/>
      <c r="R722" s="2"/>
      <c r="S722" s="2"/>
    </row>
    <row r="723" spans="9:19" ht="14.25" customHeight="1">
      <c r="I723" s="2"/>
      <c r="J723" s="2"/>
      <c r="K723" s="2"/>
      <c r="L723" s="2"/>
      <c r="M723" s="2"/>
      <c r="N723" s="2"/>
      <c r="O723" s="2"/>
      <c r="P723" s="2"/>
      <c r="Q723" s="2"/>
      <c r="R723" s="2"/>
      <c r="S723" s="2"/>
    </row>
    <row r="724" spans="9:19" ht="14.25" customHeight="1">
      <c r="I724" s="2"/>
      <c r="J724" s="2"/>
      <c r="K724" s="2"/>
      <c r="L724" s="2"/>
      <c r="M724" s="2"/>
      <c r="N724" s="2"/>
      <c r="O724" s="2"/>
      <c r="P724" s="2"/>
      <c r="Q724" s="2"/>
      <c r="R724" s="2"/>
      <c r="S724" s="2"/>
    </row>
    <row r="725" spans="9:19" ht="14.25" customHeight="1">
      <c r="I725" s="2"/>
      <c r="J725" s="2"/>
      <c r="K725" s="2"/>
      <c r="L725" s="2"/>
      <c r="M725" s="2"/>
      <c r="N725" s="2"/>
      <c r="O725" s="2"/>
      <c r="P725" s="2"/>
      <c r="Q725" s="2"/>
      <c r="R725" s="2"/>
      <c r="S725" s="2"/>
    </row>
    <row r="726" spans="9:19" ht="14.25" customHeight="1">
      <c r="I726" s="2"/>
      <c r="J726" s="2"/>
      <c r="K726" s="2"/>
      <c r="L726" s="2"/>
      <c r="M726" s="2"/>
      <c r="N726" s="2"/>
      <c r="O726" s="2"/>
      <c r="P726" s="2"/>
      <c r="Q726" s="2"/>
      <c r="R726" s="2"/>
      <c r="S726" s="2"/>
    </row>
    <row r="727" spans="9:19" ht="14.25" customHeight="1">
      <c r="I727" s="2"/>
      <c r="J727" s="2"/>
      <c r="K727" s="2"/>
      <c r="L727" s="2"/>
      <c r="M727" s="2"/>
      <c r="N727" s="2"/>
      <c r="O727" s="2"/>
      <c r="P727" s="2"/>
      <c r="Q727" s="2"/>
      <c r="R727" s="2"/>
      <c r="S727" s="2"/>
    </row>
    <row r="728" spans="9:19" ht="14.25" customHeight="1">
      <c r="I728" s="2"/>
      <c r="J728" s="2"/>
      <c r="K728" s="2"/>
      <c r="L728" s="2"/>
      <c r="M728" s="2"/>
      <c r="N728" s="2"/>
      <c r="O728" s="2"/>
      <c r="P728" s="2"/>
      <c r="Q728" s="2"/>
      <c r="R728" s="2"/>
      <c r="S728" s="2"/>
    </row>
    <row r="729" spans="9:19" ht="14.25" customHeight="1">
      <c r="I729" s="2"/>
      <c r="J729" s="2"/>
      <c r="K729" s="2"/>
      <c r="L729" s="2"/>
      <c r="M729" s="2"/>
      <c r="N729" s="2"/>
      <c r="O729" s="2"/>
      <c r="P729" s="2"/>
      <c r="Q729" s="2"/>
      <c r="R729" s="2"/>
      <c r="S729" s="2"/>
    </row>
    <row r="730" spans="9:19" ht="14.25" customHeight="1">
      <c r="I730" s="2"/>
      <c r="J730" s="2"/>
      <c r="K730" s="2"/>
      <c r="L730" s="2"/>
      <c r="M730" s="2"/>
      <c r="N730" s="2"/>
      <c r="O730" s="2"/>
      <c r="P730" s="2"/>
      <c r="Q730" s="2"/>
      <c r="R730" s="2"/>
      <c r="S730" s="2"/>
    </row>
    <row r="731" spans="9:19" ht="14.25" customHeight="1">
      <c r="I731" s="2"/>
      <c r="J731" s="2"/>
      <c r="K731" s="2"/>
      <c r="L731" s="2"/>
      <c r="M731" s="2"/>
      <c r="N731" s="2"/>
      <c r="O731" s="2"/>
      <c r="P731" s="2"/>
      <c r="Q731" s="2"/>
      <c r="R731" s="2"/>
      <c r="S731" s="2"/>
    </row>
    <row r="732" spans="9:19" ht="14.25" customHeight="1">
      <c r="I732" s="2"/>
      <c r="J732" s="2"/>
      <c r="K732" s="2"/>
      <c r="L732" s="2"/>
      <c r="M732" s="2"/>
      <c r="N732" s="2"/>
      <c r="O732" s="2"/>
      <c r="P732" s="2"/>
      <c r="Q732" s="2"/>
      <c r="R732" s="2"/>
      <c r="S732" s="2"/>
    </row>
    <row r="733" spans="9:19" ht="14.25" customHeight="1">
      <c r="I733" s="2"/>
      <c r="J733" s="2"/>
      <c r="K733" s="2"/>
      <c r="L733" s="2"/>
      <c r="M733" s="2"/>
      <c r="N733" s="2"/>
      <c r="O733" s="2"/>
      <c r="P733" s="2"/>
      <c r="Q733" s="2"/>
      <c r="R733" s="2"/>
      <c r="S733" s="2"/>
    </row>
    <row r="734" spans="9:19" ht="14.25" customHeight="1">
      <c r="I734" s="2"/>
      <c r="J734" s="2"/>
      <c r="K734" s="2"/>
      <c r="L734" s="2"/>
      <c r="M734" s="2"/>
      <c r="N734" s="2"/>
      <c r="O734" s="2"/>
      <c r="P734" s="2"/>
      <c r="Q734" s="2"/>
      <c r="R734" s="2"/>
      <c r="S734" s="2"/>
    </row>
    <row r="735" spans="9:19" ht="14.25" customHeight="1">
      <c r="I735" s="2"/>
      <c r="J735" s="2"/>
      <c r="K735" s="2"/>
      <c r="L735" s="2"/>
      <c r="M735" s="2"/>
      <c r="N735" s="2"/>
      <c r="O735" s="2"/>
      <c r="P735" s="2"/>
      <c r="Q735" s="2"/>
      <c r="R735" s="2"/>
      <c r="S735" s="2"/>
    </row>
    <row r="736" spans="9:19" ht="14.25" customHeight="1">
      <c r="I736" s="2"/>
      <c r="J736" s="2"/>
      <c r="K736" s="2"/>
      <c r="L736" s="2"/>
      <c r="M736" s="2"/>
      <c r="N736" s="2"/>
      <c r="O736" s="2"/>
      <c r="P736" s="2"/>
      <c r="Q736" s="2"/>
      <c r="R736" s="2"/>
      <c r="S736" s="2"/>
    </row>
    <row r="737" spans="9:19" ht="14.25" customHeight="1">
      <c r="I737" s="2"/>
      <c r="J737" s="2"/>
      <c r="K737" s="2"/>
      <c r="L737" s="2"/>
      <c r="M737" s="2"/>
      <c r="N737" s="2"/>
      <c r="O737" s="2"/>
      <c r="P737" s="2"/>
      <c r="Q737" s="2"/>
      <c r="R737" s="2"/>
      <c r="S737" s="2"/>
    </row>
    <row r="738" spans="9:19" ht="14.25" customHeight="1">
      <c r="I738" s="2"/>
      <c r="J738" s="2"/>
      <c r="K738" s="2"/>
      <c r="L738" s="2"/>
      <c r="M738" s="2"/>
      <c r="N738" s="2"/>
      <c r="O738" s="2"/>
      <c r="P738" s="2"/>
      <c r="Q738" s="2"/>
      <c r="R738" s="2"/>
      <c r="S738" s="2"/>
    </row>
    <row r="739" spans="9:19" ht="14.25" customHeight="1">
      <c r="I739" s="2"/>
      <c r="J739" s="2"/>
      <c r="K739" s="2"/>
      <c r="L739" s="2"/>
      <c r="M739" s="2"/>
      <c r="N739" s="2"/>
      <c r="O739" s="2"/>
      <c r="P739" s="2"/>
      <c r="Q739" s="2"/>
      <c r="R739" s="2"/>
      <c r="S739" s="2"/>
    </row>
    <row r="740" spans="9:19" ht="14.25" customHeight="1">
      <c r="I740" s="2"/>
      <c r="J740" s="2"/>
      <c r="K740" s="2"/>
      <c r="L740" s="2"/>
      <c r="M740" s="2"/>
      <c r="N740" s="2"/>
      <c r="O740" s="2"/>
      <c r="P740" s="2"/>
      <c r="Q740" s="2"/>
      <c r="R740" s="2"/>
      <c r="S740" s="2"/>
    </row>
    <row r="741" spans="9:19" ht="14.25" customHeight="1">
      <c r="I741" s="2"/>
      <c r="J741" s="2"/>
      <c r="K741" s="2"/>
      <c r="L741" s="2"/>
      <c r="M741" s="2"/>
      <c r="N741" s="2"/>
      <c r="O741" s="2"/>
      <c r="P741" s="2"/>
      <c r="Q741" s="2"/>
      <c r="R741" s="2"/>
      <c r="S741" s="2"/>
    </row>
    <row r="742" spans="9:19" ht="14.25" customHeight="1">
      <c r="I742" s="2"/>
      <c r="J742" s="2"/>
      <c r="K742" s="2"/>
      <c r="L742" s="2"/>
      <c r="M742" s="2"/>
      <c r="N742" s="2"/>
      <c r="O742" s="2"/>
      <c r="P742" s="2"/>
      <c r="Q742" s="2"/>
      <c r="R742" s="2"/>
      <c r="S742" s="2"/>
    </row>
    <row r="743" spans="9:19" ht="14.25" customHeight="1">
      <c r="I743" s="2"/>
      <c r="J743" s="2"/>
      <c r="K743" s="2"/>
      <c r="L743" s="2"/>
      <c r="M743" s="2"/>
      <c r="N743" s="2"/>
      <c r="O743" s="2"/>
      <c r="P743" s="2"/>
      <c r="Q743" s="2"/>
      <c r="R743" s="2"/>
      <c r="S743" s="2"/>
    </row>
    <row r="744" spans="9:19" ht="14.25" customHeight="1">
      <c r="I744" s="2"/>
      <c r="J744" s="2"/>
      <c r="K744" s="2"/>
      <c r="L744" s="2"/>
      <c r="M744" s="2"/>
      <c r="N744" s="2"/>
      <c r="O744" s="2"/>
      <c r="P744" s="2"/>
      <c r="Q744" s="2"/>
      <c r="R744" s="2"/>
      <c r="S744" s="2"/>
    </row>
    <row r="745" spans="9:19" ht="14.25" customHeight="1">
      <c r="I745" s="2"/>
      <c r="J745" s="2"/>
      <c r="K745" s="2"/>
      <c r="L745" s="2"/>
      <c r="M745" s="2"/>
      <c r="N745" s="2"/>
      <c r="O745" s="2"/>
      <c r="P745" s="2"/>
      <c r="Q745" s="2"/>
      <c r="R745" s="2"/>
      <c r="S745" s="2"/>
    </row>
    <row r="746" spans="9:19" ht="14.25" customHeight="1">
      <c r="I746" s="2"/>
      <c r="J746" s="2"/>
      <c r="K746" s="2"/>
      <c r="L746" s="2"/>
      <c r="M746" s="2"/>
      <c r="N746" s="2"/>
      <c r="O746" s="2"/>
      <c r="P746" s="2"/>
      <c r="Q746" s="2"/>
      <c r="R746" s="2"/>
      <c r="S746" s="2"/>
    </row>
    <row r="747" spans="9:19" ht="14.25" customHeight="1">
      <c r="I747" s="2"/>
      <c r="J747" s="2"/>
      <c r="K747" s="2"/>
      <c r="L747" s="2"/>
      <c r="M747" s="2"/>
      <c r="N747" s="2"/>
      <c r="O747" s="2"/>
      <c r="P747" s="2"/>
      <c r="Q747" s="2"/>
      <c r="R747" s="2"/>
      <c r="S747" s="2"/>
    </row>
    <row r="748" spans="9:19" ht="14.25" customHeight="1">
      <c r="I748" s="2"/>
      <c r="J748" s="2"/>
      <c r="K748" s="2"/>
      <c r="L748" s="2"/>
      <c r="M748" s="2"/>
      <c r="N748" s="2"/>
      <c r="O748" s="2"/>
      <c r="P748" s="2"/>
      <c r="Q748" s="2"/>
      <c r="R748" s="2"/>
      <c r="S748" s="2"/>
    </row>
    <row r="749" spans="9:19" ht="14.25" customHeight="1">
      <c r="I749" s="2"/>
      <c r="J749" s="2"/>
      <c r="K749" s="2"/>
      <c r="L749" s="2"/>
      <c r="M749" s="2"/>
      <c r="N749" s="2"/>
      <c r="O749" s="2"/>
      <c r="P749" s="2"/>
      <c r="Q749" s="2"/>
      <c r="R749" s="2"/>
      <c r="S749" s="2"/>
    </row>
    <row r="750" spans="9:19" ht="14.25" customHeight="1">
      <c r="I750" s="2"/>
      <c r="J750" s="2"/>
      <c r="K750" s="2"/>
      <c r="L750" s="2"/>
      <c r="M750" s="2"/>
      <c r="N750" s="2"/>
      <c r="O750" s="2"/>
      <c r="P750" s="2"/>
      <c r="Q750" s="2"/>
      <c r="R750" s="2"/>
      <c r="S750" s="2"/>
    </row>
    <row r="751" spans="9:19" ht="14.25" customHeight="1">
      <c r="I751" s="2"/>
      <c r="J751" s="2"/>
      <c r="K751" s="2"/>
      <c r="L751" s="2"/>
      <c r="M751" s="2"/>
      <c r="N751" s="2"/>
      <c r="O751" s="2"/>
      <c r="P751" s="2"/>
      <c r="Q751" s="2"/>
      <c r="R751" s="2"/>
      <c r="S751" s="2"/>
    </row>
    <row r="752" spans="9:19" ht="14.25" customHeight="1">
      <c r="I752" s="2"/>
      <c r="J752" s="2"/>
      <c r="K752" s="2"/>
      <c r="L752" s="2"/>
      <c r="M752" s="2"/>
      <c r="N752" s="2"/>
      <c r="O752" s="2"/>
      <c r="P752" s="2"/>
      <c r="Q752" s="2"/>
      <c r="R752" s="2"/>
      <c r="S752" s="2"/>
    </row>
    <row r="753" spans="9:19" ht="14.25" customHeight="1">
      <c r="I753" s="2"/>
      <c r="J753" s="2"/>
      <c r="K753" s="2"/>
      <c r="L753" s="2"/>
      <c r="M753" s="2"/>
      <c r="N753" s="2"/>
      <c r="O753" s="2"/>
      <c r="P753" s="2"/>
      <c r="Q753" s="2"/>
      <c r="R753" s="2"/>
      <c r="S753" s="2"/>
    </row>
    <row r="754" spans="9:19" ht="14.25" customHeight="1">
      <c r="I754" s="2"/>
      <c r="J754" s="2"/>
      <c r="K754" s="2"/>
      <c r="L754" s="2"/>
      <c r="M754" s="2"/>
      <c r="N754" s="2"/>
      <c r="O754" s="2"/>
      <c r="P754" s="2"/>
      <c r="Q754" s="2"/>
      <c r="R754" s="2"/>
      <c r="S754" s="2"/>
    </row>
    <row r="755" spans="9:19" ht="14.25" customHeight="1">
      <c r="I755" s="2"/>
      <c r="J755" s="2"/>
      <c r="K755" s="2"/>
      <c r="L755" s="2"/>
      <c r="M755" s="2"/>
      <c r="N755" s="2"/>
      <c r="O755" s="2"/>
      <c r="P755" s="2"/>
      <c r="Q755" s="2"/>
      <c r="R755" s="2"/>
      <c r="S755" s="2"/>
    </row>
    <row r="756" spans="9:19" ht="14.25" customHeight="1">
      <c r="I756" s="2"/>
      <c r="J756" s="2"/>
      <c r="K756" s="2"/>
      <c r="L756" s="2"/>
      <c r="M756" s="2"/>
      <c r="N756" s="2"/>
      <c r="O756" s="2"/>
      <c r="P756" s="2"/>
      <c r="Q756" s="2"/>
      <c r="R756" s="2"/>
      <c r="S756" s="2"/>
    </row>
    <row r="757" spans="9:19" ht="14.25" customHeight="1">
      <c r="I757" s="2"/>
      <c r="J757" s="2"/>
      <c r="K757" s="2"/>
      <c r="L757" s="2"/>
      <c r="M757" s="2"/>
      <c r="N757" s="2"/>
      <c r="O757" s="2"/>
      <c r="P757" s="2"/>
      <c r="Q757" s="2"/>
      <c r="R757" s="2"/>
      <c r="S757" s="2"/>
    </row>
    <row r="758" spans="9:19" ht="14.25" customHeight="1">
      <c r="I758" s="2"/>
      <c r="J758" s="2"/>
      <c r="K758" s="2"/>
      <c r="L758" s="2"/>
      <c r="M758" s="2"/>
      <c r="N758" s="2"/>
      <c r="O758" s="2"/>
      <c r="P758" s="2"/>
      <c r="Q758" s="2"/>
      <c r="R758" s="2"/>
      <c r="S758" s="2"/>
    </row>
    <row r="759" spans="9:19" ht="14.25" customHeight="1">
      <c r="I759" s="2"/>
      <c r="J759" s="2"/>
      <c r="K759" s="2"/>
      <c r="L759" s="2"/>
      <c r="M759" s="2"/>
      <c r="N759" s="2"/>
      <c r="O759" s="2"/>
      <c r="P759" s="2"/>
      <c r="Q759" s="2"/>
      <c r="R759" s="2"/>
      <c r="S759" s="2"/>
    </row>
    <row r="760" spans="9:19" ht="14.25" customHeight="1">
      <c r="I760" s="2"/>
      <c r="J760" s="2"/>
      <c r="K760" s="2"/>
      <c r="L760" s="2"/>
      <c r="M760" s="2"/>
      <c r="N760" s="2"/>
      <c r="O760" s="2"/>
      <c r="P760" s="2"/>
      <c r="Q760" s="2"/>
      <c r="R760" s="2"/>
      <c r="S760" s="2"/>
    </row>
    <row r="761" spans="9:19" ht="14.25" customHeight="1">
      <c r="I761" s="2"/>
      <c r="J761" s="2"/>
      <c r="K761" s="2"/>
      <c r="L761" s="2"/>
      <c r="M761" s="2"/>
      <c r="N761" s="2"/>
      <c r="O761" s="2"/>
      <c r="P761" s="2"/>
      <c r="Q761" s="2"/>
      <c r="R761" s="2"/>
      <c r="S761" s="2"/>
    </row>
    <row r="762" spans="9:19" ht="14.25" customHeight="1">
      <c r="I762" s="2"/>
      <c r="J762" s="2"/>
      <c r="K762" s="2"/>
      <c r="L762" s="2"/>
      <c r="M762" s="2"/>
      <c r="N762" s="2"/>
      <c r="O762" s="2"/>
      <c r="P762" s="2"/>
      <c r="Q762" s="2"/>
      <c r="R762" s="2"/>
      <c r="S762" s="2"/>
    </row>
    <row r="763" spans="9:19" ht="14.25" customHeight="1">
      <c r="I763" s="2"/>
      <c r="J763" s="2"/>
      <c r="K763" s="2"/>
      <c r="L763" s="2"/>
      <c r="M763" s="2"/>
      <c r="N763" s="2"/>
      <c r="O763" s="2"/>
      <c r="P763" s="2"/>
      <c r="Q763" s="2"/>
      <c r="R763" s="2"/>
      <c r="S763" s="2"/>
    </row>
    <row r="764" spans="9:19" ht="14.25" customHeight="1">
      <c r="I764" s="2"/>
      <c r="J764" s="2"/>
      <c r="K764" s="2"/>
      <c r="L764" s="2"/>
      <c r="M764" s="2"/>
      <c r="N764" s="2"/>
      <c r="O764" s="2"/>
      <c r="P764" s="2"/>
      <c r="Q764" s="2"/>
      <c r="R764" s="2"/>
      <c r="S764" s="2"/>
    </row>
    <row r="765" spans="9:19" ht="14.25" customHeight="1">
      <c r="I765" s="2"/>
      <c r="J765" s="2"/>
      <c r="K765" s="2"/>
      <c r="L765" s="2"/>
      <c r="M765" s="2"/>
      <c r="N765" s="2"/>
      <c r="O765" s="2"/>
      <c r="P765" s="2"/>
      <c r="Q765" s="2"/>
      <c r="R765" s="2"/>
      <c r="S765" s="2"/>
    </row>
    <row r="766" spans="9:19" ht="14.25" customHeight="1">
      <c r="I766" s="2"/>
      <c r="J766" s="2"/>
      <c r="K766" s="2"/>
      <c r="L766" s="2"/>
      <c r="M766" s="2"/>
      <c r="N766" s="2"/>
      <c r="O766" s="2"/>
      <c r="P766" s="2"/>
      <c r="Q766" s="2"/>
      <c r="R766" s="2"/>
      <c r="S766" s="2"/>
    </row>
    <row r="767" spans="9:19" ht="14.25" customHeight="1">
      <c r="I767" s="2"/>
      <c r="J767" s="2"/>
      <c r="K767" s="2"/>
      <c r="L767" s="2"/>
      <c r="M767" s="2"/>
      <c r="N767" s="2"/>
      <c r="O767" s="2"/>
      <c r="P767" s="2"/>
      <c r="Q767" s="2"/>
      <c r="R767" s="2"/>
      <c r="S767" s="2"/>
    </row>
    <row r="768" spans="9:19" ht="14.25" customHeight="1">
      <c r="I768" s="2"/>
      <c r="J768" s="2"/>
      <c r="K768" s="2"/>
      <c r="L768" s="2"/>
      <c r="M768" s="2"/>
      <c r="N768" s="2"/>
      <c r="O768" s="2"/>
      <c r="P768" s="2"/>
      <c r="Q768" s="2"/>
      <c r="R768" s="2"/>
      <c r="S768" s="2"/>
    </row>
    <row r="769" spans="9:19" ht="14.25" customHeight="1">
      <c r="I769" s="2"/>
      <c r="J769" s="2"/>
      <c r="K769" s="2"/>
      <c r="L769" s="2"/>
      <c r="M769" s="2"/>
      <c r="N769" s="2"/>
      <c r="O769" s="2"/>
      <c r="P769" s="2"/>
      <c r="Q769" s="2"/>
      <c r="R769" s="2"/>
      <c r="S769" s="2"/>
    </row>
    <row r="770" spans="9:19" ht="14.25" customHeight="1">
      <c r="I770" s="2"/>
      <c r="J770" s="2"/>
      <c r="K770" s="2"/>
      <c r="L770" s="2"/>
      <c r="M770" s="2"/>
      <c r="N770" s="2"/>
      <c r="O770" s="2"/>
      <c r="P770" s="2"/>
      <c r="Q770" s="2"/>
      <c r="R770" s="2"/>
      <c r="S770" s="2"/>
    </row>
    <row r="771" spans="9:19" ht="14.25" customHeight="1">
      <c r="I771" s="2"/>
      <c r="J771" s="2"/>
      <c r="K771" s="2"/>
      <c r="L771" s="2"/>
      <c r="M771" s="2"/>
      <c r="N771" s="2"/>
      <c r="O771" s="2"/>
      <c r="P771" s="2"/>
      <c r="Q771" s="2"/>
      <c r="R771" s="2"/>
      <c r="S771" s="2"/>
    </row>
    <row r="772" spans="9:19" ht="14.25" customHeight="1">
      <c r="I772" s="2"/>
      <c r="J772" s="2"/>
      <c r="K772" s="2"/>
      <c r="L772" s="2"/>
      <c r="M772" s="2"/>
      <c r="N772" s="2"/>
      <c r="O772" s="2"/>
      <c r="P772" s="2"/>
      <c r="Q772" s="2"/>
      <c r="R772" s="2"/>
      <c r="S772" s="2"/>
    </row>
    <row r="773" spans="9:19" ht="14.25" customHeight="1">
      <c r="I773" s="2"/>
      <c r="J773" s="2"/>
      <c r="K773" s="2"/>
      <c r="L773" s="2"/>
      <c r="M773" s="2"/>
      <c r="N773" s="2"/>
      <c r="O773" s="2"/>
      <c r="P773" s="2"/>
      <c r="Q773" s="2"/>
      <c r="R773" s="2"/>
      <c r="S773" s="2"/>
    </row>
    <row r="774" spans="9:19" ht="14.25" customHeight="1">
      <c r="I774" s="2"/>
      <c r="J774" s="2"/>
      <c r="K774" s="2"/>
      <c r="L774" s="2"/>
      <c r="M774" s="2"/>
      <c r="N774" s="2"/>
      <c r="O774" s="2"/>
      <c r="P774" s="2"/>
      <c r="Q774" s="2"/>
      <c r="R774" s="2"/>
      <c r="S774" s="2"/>
    </row>
    <row r="775" spans="9:19" ht="14.25" customHeight="1">
      <c r="I775" s="2"/>
      <c r="J775" s="2"/>
      <c r="K775" s="2"/>
      <c r="L775" s="2"/>
      <c r="M775" s="2"/>
      <c r="N775" s="2"/>
      <c r="O775" s="2"/>
      <c r="P775" s="2"/>
      <c r="Q775" s="2"/>
      <c r="R775" s="2"/>
      <c r="S775" s="2"/>
    </row>
    <row r="776" spans="9:19" ht="14.25" customHeight="1">
      <c r="I776" s="2"/>
      <c r="J776" s="2"/>
      <c r="K776" s="2"/>
      <c r="L776" s="2"/>
      <c r="M776" s="2"/>
      <c r="N776" s="2"/>
      <c r="O776" s="2"/>
      <c r="P776" s="2"/>
      <c r="Q776" s="2"/>
      <c r="R776" s="2"/>
      <c r="S776" s="2"/>
    </row>
    <row r="777" spans="9:19" ht="14.25" customHeight="1">
      <c r="I777" s="2"/>
      <c r="J777" s="2"/>
      <c r="K777" s="2"/>
      <c r="L777" s="2"/>
      <c r="M777" s="2"/>
      <c r="N777" s="2"/>
      <c r="O777" s="2"/>
      <c r="P777" s="2"/>
      <c r="Q777" s="2"/>
      <c r="R777" s="2"/>
      <c r="S777" s="2"/>
    </row>
    <row r="778" spans="9:19" ht="14.25" customHeight="1">
      <c r="I778" s="2"/>
      <c r="J778" s="2"/>
      <c r="K778" s="2"/>
      <c r="L778" s="2"/>
      <c r="M778" s="2"/>
      <c r="N778" s="2"/>
      <c r="O778" s="2"/>
      <c r="P778" s="2"/>
      <c r="Q778" s="2"/>
      <c r="R778" s="2"/>
      <c r="S778" s="2"/>
    </row>
    <row r="779" spans="9:19" ht="14.25" customHeight="1">
      <c r="I779" s="2"/>
      <c r="J779" s="2"/>
      <c r="K779" s="2"/>
      <c r="L779" s="2"/>
      <c r="M779" s="2"/>
      <c r="N779" s="2"/>
      <c r="O779" s="2"/>
      <c r="P779" s="2"/>
      <c r="Q779" s="2"/>
      <c r="R779" s="2"/>
      <c r="S779" s="2"/>
    </row>
    <row r="780" spans="9:19" ht="14.25" customHeight="1">
      <c r="I780" s="2"/>
      <c r="J780" s="2"/>
      <c r="K780" s="2"/>
      <c r="L780" s="2"/>
      <c r="M780" s="2"/>
      <c r="N780" s="2"/>
      <c r="O780" s="2"/>
      <c r="P780" s="2"/>
      <c r="Q780" s="2"/>
      <c r="R780" s="2"/>
      <c r="S780" s="2"/>
    </row>
    <row r="781" spans="9:19" ht="14.25" customHeight="1">
      <c r="I781" s="2"/>
      <c r="J781" s="2"/>
      <c r="K781" s="2"/>
      <c r="L781" s="2"/>
      <c r="M781" s="2"/>
      <c r="N781" s="2"/>
      <c r="O781" s="2"/>
      <c r="P781" s="2"/>
      <c r="Q781" s="2"/>
      <c r="R781" s="2"/>
      <c r="S781" s="2"/>
    </row>
    <row r="782" spans="9:19" ht="14.25" customHeight="1">
      <c r="I782" s="2"/>
      <c r="J782" s="2"/>
      <c r="K782" s="2"/>
      <c r="L782" s="2"/>
      <c r="M782" s="2"/>
      <c r="N782" s="2"/>
      <c r="O782" s="2"/>
      <c r="P782" s="2"/>
      <c r="Q782" s="2"/>
      <c r="R782" s="2"/>
      <c r="S782" s="2"/>
    </row>
    <row r="783" spans="9:19" ht="14.25" customHeight="1">
      <c r="I783" s="2"/>
      <c r="J783" s="2"/>
      <c r="K783" s="2"/>
      <c r="L783" s="2"/>
      <c r="M783" s="2"/>
      <c r="N783" s="2"/>
      <c r="O783" s="2"/>
      <c r="P783" s="2"/>
      <c r="Q783" s="2"/>
      <c r="R783" s="2"/>
      <c r="S783" s="2"/>
    </row>
    <row r="784" spans="9:19" ht="14.25" customHeight="1">
      <c r="I784" s="2"/>
      <c r="J784" s="2"/>
      <c r="K784" s="2"/>
      <c r="L784" s="2"/>
      <c r="M784" s="2"/>
      <c r="N784" s="2"/>
      <c r="O784" s="2"/>
      <c r="P784" s="2"/>
      <c r="Q784" s="2"/>
      <c r="R784" s="2"/>
      <c r="S784" s="2"/>
    </row>
    <row r="785" spans="9:19" ht="14.25" customHeight="1">
      <c r="I785" s="2"/>
      <c r="J785" s="2"/>
      <c r="K785" s="2"/>
      <c r="L785" s="2"/>
      <c r="M785" s="2"/>
      <c r="N785" s="2"/>
      <c r="O785" s="2"/>
      <c r="P785" s="2"/>
      <c r="Q785" s="2"/>
      <c r="R785" s="2"/>
      <c r="S785" s="2"/>
    </row>
    <row r="786" spans="9:19" ht="14.25" customHeight="1">
      <c r="I786" s="2"/>
      <c r="J786" s="2"/>
      <c r="K786" s="2"/>
      <c r="L786" s="2"/>
      <c r="M786" s="2"/>
      <c r="N786" s="2"/>
      <c r="O786" s="2"/>
      <c r="P786" s="2"/>
      <c r="Q786" s="2"/>
      <c r="R786" s="2"/>
      <c r="S786" s="2"/>
    </row>
    <row r="787" spans="9:19" ht="14.25" customHeight="1">
      <c r="I787" s="2"/>
      <c r="J787" s="2"/>
      <c r="K787" s="2"/>
      <c r="L787" s="2"/>
      <c r="M787" s="2"/>
      <c r="N787" s="2"/>
      <c r="O787" s="2"/>
      <c r="P787" s="2"/>
      <c r="Q787" s="2"/>
      <c r="R787" s="2"/>
      <c r="S787" s="2"/>
    </row>
    <row r="788" spans="9:19" ht="14.25" customHeight="1">
      <c r="I788" s="2"/>
      <c r="J788" s="2"/>
      <c r="K788" s="2"/>
      <c r="L788" s="2"/>
      <c r="M788" s="2"/>
      <c r="N788" s="2"/>
      <c r="O788" s="2"/>
      <c r="P788" s="2"/>
      <c r="Q788" s="2"/>
      <c r="R788" s="2"/>
      <c r="S788" s="2"/>
    </row>
    <row r="789" spans="9:19" ht="14.25" customHeight="1">
      <c r="I789" s="2"/>
      <c r="J789" s="2"/>
      <c r="K789" s="2"/>
      <c r="L789" s="2"/>
      <c r="M789" s="2"/>
      <c r="N789" s="2"/>
      <c r="O789" s="2"/>
      <c r="P789" s="2"/>
      <c r="Q789" s="2"/>
      <c r="R789" s="2"/>
      <c r="S789" s="2"/>
    </row>
    <row r="790" spans="9:19" ht="14.25" customHeight="1">
      <c r="I790" s="2"/>
      <c r="J790" s="2"/>
      <c r="K790" s="2"/>
      <c r="L790" s="2"/>
      <c r="M790" s="2"/>
      <c r="N790" s="2"/>
      <c r="O790" s="2"/>
      <c r="P790" s="2"/>
      <c r="Q790" s="2"/>
      <c r="R790" s="2"/>
      <c r="S790" s="2"/>
    </row>
    <row r="791" spans="9:19" ht="14.25" customHeight="1">
      <c r="I791" s="2"/>
      <c r="J791" s="2"/>
      <c r="K791" s="2"/>
      <c r="L791" s="2"/>
      <c r="M791" s="2"/>
      <c r="N791" s="2"/>
      <c r="O791" s="2"/>
      <c r="P791" s="2"/>
      <c r="Q791" s="2"/>
      <c r="R791" s="2"/>
      <c r="S791" s="2"/>
    </row>
    <row r="792" spans="9:19" ht="14.25" customHeight="1">
      <c r="I792" s="2"/>
      <c r="J792" s="2"/>
      <c r="K792" s="2"/>
      <c r="L792" s="2"/>
      <c r="M792" s="2"/>
      <c r="N792" s="2"/>
      <c r="O792" s="2"/>
      <c r="P792" s="2"/>
      <c r="Q792" s="2"/>
      <c r="R792" s="2"/>
      <c r="S792" s="2"/>
    </row>
    <row r="793" spans="9:19" ht="14.25" customHeight="1">
      <c r="I793" s="2"/>
      <c r="J793" s="2"/>
      <c r="K793" s="2"/>
      <c r="L793" s="2"/>
      <c r="M793" s="2"/>
      <c r="N793" s="2"/>
      <c r="O793" s="2"/>
      <c r="P793" s="2"/>
      <c r="Q793" s="2"/>
      <c r="R793" s="2"/>
      <c r="S793" s="2"/>
    </row>
    <row r="794" spans="9:19" ht="14.25" customHeight="1">
      <c r="I794" s="2"/>
      <c r="J794" s="2"/>
      <c r="K794" s="2"/>
      <c r="L794" s="2"/>
      <c r="M794" s="2"/>
      <c r="N794" s="2"/>
      <c r="O794" s="2"/>
      <c r="P794" s="2"/>
      <c r="Q794" s="2"/>
      <c r="R794" s="2"/>
      <c r="S794" s="2"/>
    </row>
    <row r="795" spans="9:19" ht="14.25" customHeight="1">
      <c r="I795" s="2"/>
      <c r="J795" s="2"/>
      <c r="K795" s="2"/>
      <c r="L795" s="2"/>
      <c r="M795" s="2"/>
      <c r="N795" s="2"/>
      <c r="O795" s="2"/>
      <c r="P795" s="2"/>
      <c r="Q795" s="2"/>
      <c r="R795" s="2"/>
      <c r="S795" s="2"/>
    </row>
    <row r="796" spans="9:19" ht="14.25" customHeight="1">
      <c r="I796" s="2"/>
      <c r="J796" s="2"/>
      <c r="K796" s="2"/>
      <c r="L796" s="2"/>
      <c r="M796" s="2"/>
      <c r="N796" s="2"/>
      <c r="O796" s="2"/>
      <c r="P796" s="2"/>
      <c r="Q796" s="2"/>
      <c r="R796" s="2"/>
      <c r="S796" s="2"/>
    </row>
    <row r="797" spans="9:19" ht="14.25" customHeight="1">
      <c r="I797" s="2"/>
      <c r="J797" s="2"/>
      <c r="K797" s="2"/>
      <c r="L797" s="2"/>
      <c r="M797" s="2"/>
      <c r="N797" s="2"/>
      <c r="O797" s="2"/>
      <c r="P797" s="2"/>
      <c r="Q797" s="2"/>
      <c r="R797" s="2"/>
      <c r="S797" s="2"/>
    </row>
    <row r="798" spans="9:19" ht="14.25" customHeight="1">
      <c r="I798" s="2"/>
      <c r="J798" s="2"/>
      <c r="K798" s="2"/>
      <c r="L798" s="2"/>
      <c r="M798" s="2"/>
      <c r="N798" s="2"/>
      <c r="O798" s="2"/>
      <c r="P798" s="2"/>
      <c r="Q798" s="2"/>
      <c r="R798" s="2"/>
      <c r="S798" s="2"/>
    </row>
    <row r="799" spans="9:19" ht="14.25" customHeight="1">
      <c r="I799" s="2"/>
      <c r="J799" s="2"/>
      <c r="K799" s="2"/>
      <c r="L799" s="2"/>
      <c r="M799" s="2"/>
      <c r="N799" s="2"/>
      <c r="O799" s="2"/>
      <c r="P799" s="2"/>
      <c r="Q799" s="2"/>
      <c r="R799" s="2"/>
      <c r="S799" s="2"/>
    </row>
    <row r="800" spans="9:19" ht="14.25" customHeight="1">
      <c r="I800" s="2"/>
      <c r="J800" s="2"/>
      <c r="K800" s="2"/>
      <c r="L800" s="2"/>
      <c r="M800" s="2"/>
      <c r="N800" s="2"/>
      <c r="O800" s="2"/>
      <c r="P800" s="2"/>
      <c r="Q800" s="2"/>
      <c r="R800" s="2"/>
      <c r="S800" s="2"/>
    </row>
    <row r="801" spans="9:19" ht="14.25" customHeight="1">
      <c r="I801" s="2"/>
      <c r="J801" s="2"/>
      <c r="K801" s="2"/>
      <c r="L801" s="2"/>
      <c r="M801" s="2"/>
      <c r="N801" s="2"/>
      <c r="O801" s="2"/>
      <c r="P801" s="2"/>
      <c r="Q801" s="2"/>
      <c r="R801" s="2"/>
      <c r="S801" s="2"/>
    </row>
    <row r="802" spans="9:19" ht="14.25" customHeight="1">
      <c r="I802" s="2"/>
      <c r="J802" s="2"/>
      <c r="K802" s="2"/>
      <c r="L802" s="2"/>
      <c r="M802" s="2"/>
      <c r="N802" s="2"/>
      <c r="O802" s="2"/>
      <c r="P802" s="2"/>
      <c r="Q802" s="2"/>
      <c r="R802" s="2"/>
      <c r="S802" s="2"/>
    </row>
    <row r="803" spans="9:19" ht="14.25" customHeight="1">
      <c r="I803" s="2"/>
      <c r="J803" s="2"/>
      <c r="K803" s="2"/>
      <c r="L803" s="2"/>
      <c r="M803" s="2"/>
      <c r="N803" s="2"/>
      <c r="O803" s="2"/>
      <c r="P803" s="2"/>
      <c r="Q803" s="2"/>
      <c r="R803" s="2"/>
      <c r="S803" s="2"/>
    </row>
    <row r="804" spans="9:19" ht="14.25" customHeight="1">
      <c r="I804" s="2"/>
      <c r="J804" s="2"/>
      <c r="K804" s="2"/>
      <c r="L804" s="2"/>
      <c r="M804" s="2"/>
      <c r="N804" s="2"/>
      <c r="O804" s="2"/>
      <c r="P804" s="2"/>
      <c r="Q804" s="2"/>
      <c r="R804" s="2"/>
      <c r="S804" s="2"/>
    </row>
    <row r="805" spans="9:19" ht="14.25" customHeight="1">
      <c r="I805" s="2"/>
      <c r="J805" s="2"/>
      <c r="K805" s="2"/>
      <c r="L805" s="2"/>
      <c r="M805" s="2"/>
      <c r="N805" s="2"/>
      <c r="O805" s="2"/>
      <c r="P805" s="2"/>
      <c r="Q805" s="2"/>
      <c r="R805" s="2"/>
      <c r="S805" s="2"/>
    </row>
    <row r="806" spans="9:19" ht="14.25" customHeight="1">
      <c r="I806" s="2"/>
      <c r="J806" s="2"/>
      <c r="K806" s="2"/>
      <c r="L806" s="2"/>
      <c r="M806" s="2"/>
      <c r="N806" s="2"/>
      <c r="O806" s="2"/>
      <c r="P806" s="2"/>
      <c r="Q806" s="2"/>
      <c r="R806" s="2"/>
      <c r="S806" s="2"/>
    </row>
    <row r="807" spans="9:19" ht="14.25" customHeight="1">
      <c r="I807" s="2"/>
      <c r="J807" s="2"/>
      <c r="K807" s="2"/>
      <c r="L807" s="2"/>
      <c r="M807" s="2"/>
      <c r="N807" s="2"/>
      <c r="O807" s="2"/>
      <c r="P807" s="2"/>
      <c r="Q807" s="2"/>
      <c r="R807" s="2"/>
      <c r="S807" s="2"/>
    </row>
    <row r="808" spans="9:19" ht="14.25" customHeight="1">
      <c r="I808" s="2"/>
      <c r="J808" s="2"/>
      <c r="K808" s="2"/>
      <c r="L808" s="2"/>
      <c r="M808" s="2"/>
      <c r="N808" s="2"/>
      <c r="O808" s="2"/>
      <c r="P808" s="2"/>
      <c r="Q808" s="2"/>
      <c r="R808" s="2"/>
      <c r="S808" s="2"/>
    </row>
    <row r="809" spans="9:19" ht="14.25" customHeight="1">
      <c r="I809" s="2"/>
      <c r="J809" s="2"/>
      <c r="K809" s="2"/>
      <c r="L809" s="2"/>
      <c r="M809" s="2"/>
      <c r="N809" s="2"/>
      <c r="O809" s="2"/>
      <c r="P809" s="2"/>
      <c r="Q809" s="2"/>
      <c r="R809" s="2"/>
      <c r="S809" s="2"/>
    </row>
    <row r="810" spans="9:19" ht="14.25" customHeight="1">
      <c r="I810" s="2"/>
      <c r="J810" s="2"/>
      <c r="K810" s="2"/>
      <c r="L810" s="2"/>
      <c r="M810" s="2"/>
      <c r="N810" s="2"/>
      <c r="O810" s="2"/>
      <c r="P810" s="2"/>
      <c r="Q810" s="2"/>
      <c r="R810" s="2"/>
      <c r="S810" s="2"/>
    </row>
    <row r="811" spans="9:19" ht="14.25" customHeight="1">
      <c r="I811" s="2"/>
      <c r="J811" s="2"/>
      <c r="K811" s="2"/>
      <c r="L811" s="2"/>
      <c r="M811" s="2"/>
      <c r="N811" s="2"/>
      <c r="O811" s="2"/>
      <c r="P811" s="2"/>
      <c r="Q811" s="2"/>
      <c r="R811" s="2"/>
      <c r="S811" s="2"/>
    </row>
    <row r="812" spans="9:19" ht="14.25" customHeight="1">
      <c r="I812" s="2"/>
      <c r="J812" s="2"/>
      <c r="K812" s="2"/>
      <c r="L812" s="2"/>
      <c r="M812" s="2"/>
      <c r="N812" s="2"/>
      <c r="O812" s="2"/>
      <c r="P812" s="2"/>
      <c r="Q812" s="2"/>
      <c r="R812" s="2"/>
      <c r="S812" s="2"/>
    </row>
    <row r="813" spans="9:19" ht="14.25" customHeight="1">
      <c r="I813" s="2"/>
      <c r="J813" s="2"/>
      <c r="K813" s="2"/>
      <c r="L813" s="2"/>
      <c r="M813" s="2"/>
      <c r="N813" s="2"/>
      <c r="O813" s="2"/>
      <c r="P813" s="2"/>
      <c r="Q813" s="2"/>
      <c r="R813" s="2"/>
      <c r="S813" s="2"/>
    </row>
    <row r="814" spans="9:19" ht="14.25" customHeight="1">
      <c r="I814" s="2"/>
      <c r="J814" s="2"/>
      <c r="K814" s="2"/>
      <c r="L814" s="2"/>
      <c r="M814" s="2"/>
      <c r="N814" s="2"/>
      <c r="O814" s="2"/>
      <c r="P814" s="2"/>
      <c r="Q814" s="2"/>
      <c r="R814" s="2"/>
      <c r="S814" s="2"/>
    </row>
    <row r="815" spans="9:19" ht="14.25" customHeight="1">
      <c r="I815" s="2"/>
      <c r="J815" s="2"/>
      <c r="K815" s="2"/>
      <c r="L815" s="2"/>
      <c r="M815" s="2"/>
      <c r="N815" s="2"/>
      <c r="O815" s="2"/>
      <c r="P815" s="2"/>
      <c r="Q815" s="2"/>
      <c r="R815" s="2"/>
      <c r="S815" s="2"/>
    </row>
    <row r="816" spans="9:19" ht="14.25" customHeight="1">
      <c r="I816" s="2"/>
      <c r="J816" s="2"/>
      <c r="K816" s="2"/>
      <c r="L816" s="2"/>
      <c r="M816" s="2"/>
      <c r="N816" s="2"/>
      <c r="O816" s="2"/>
      <c r="P816" s="2"/>
      <c r="Q816" s="2"/>
      <c r="R816" s="2"/>
      <c r="S816" s="2"/>
    </row>
    <row r="817" spans="9:19" ht="14.25" customHeight="1">
      <c r="I817" s="2"/>
      <c r="J817" s="2"/>
      <c r="K817" s="2"/>
      <c r="L817" s="2"/>
      <c r="M817" s="2"/>
      <c r="N817" s="2"/>
      <c r="O817" s="2"/>
      <c r="P817" s="2"/>
      <c r="Q817" s="2"/>
      <c r="R817" s="2"/>
      <c r="S817" s="2"/>
    </row>
    <row r="818" spans="9:19" ht="14.25" customHeight="1">
      <c r="I818" s="2"/>
      <c r="J818" s="2"/>
      <c r="K818" s="2"/>
      <c r="L818" s="2"/>
      <c r="M818" s="2"/>
      <c r="N818" s="2"/>
      <c r="O818" s="2"/>
      <c r="P818" s="2"/>
      <c r="Q818" s="2"/>
      <c r="R818" s="2"/>
      <c r="S818" s="2"/>
    </row>
    <row r="819" spans="9:19" ht="14.25" customHeight="1">
      <c r="I819" s="2"/>
      <c r="J819" s="2"/>
      <c r="K819" s="2"/>
      <c r="L819" s="2"/>
      <c r="M819" s="2"/>
      <c r="N819" s="2"/>
      <c r="O819" s="2"/>
      <c r="P819" s="2"/>
      <c r="Q819" s="2"/>
      <c r="R819" s="2"/>
      <c r="S819" s="2"/>
    </row>
    <row r="820" spans="9:19" ht="14.25" customHeight="1">
      <c r="I820" s="2"/>
      <c r="J820" s="2"/>
      <c r="K820" s="2"/>
      <c r="L820" s="2"/>
      <c r="M820" s="2"/>
      <c r="N820" s="2"/>
      <c r="O820" s="2"/>
      <c r="P820" s="2"/>
      <c r="Q820" s="2"/>
      <c r="R820" s="2"/>
      <c r="S820" s="2"/>
    </row>
    <row r="821" spans="9:19" ht="14.25" customHeight="1">
      <c r="I821" s="2"/>
      <c r="J821" s="2"/>
      <c r="K821" s="2"/>
      <c r="L821" s="2"/>
      <c r="M821" s="2"/>
      <c r="N821" s="2"/>
      <c r="O821" s="2"/>
      <c r="P821" s="2"/>
      <c r="Q821" s="2"/>
      <c r="R821" s="2"/>
      <c r="S821" s="2"/>
    </row>
    <row r="822" spans="9:19" ht="14.25" customHeight="1">
      <c r="I822" s="2"/>
      <c r="J822" s="2"/>
      <c r="K822" s="2"/>
      <c r="L822" s="2"/>
      <c r="M822" s="2"/>
      <c r="N822" s="2"/>
      <c r="O822" s="2"/>
      <c r="P822" s="2"/>
      <c r="Q822" s="2"/>
      <c r="R822" s="2"/>
      <c r="S822" s="2"/>
    </row>
    <row r="823" spans="9:19" ht="14.25" customHeight="1">
      <c r="I823" s="2"/>
      <c r="J823" s="2"/>
      <c r="K823" s="2"/>
      <c r="L823" s="2"/>
      <c r="M823" s="2"/>
      <c r="N823" s="2"/>
      <c r="O823" s="2"/>
      <c r="P823" s="2"/>
      <c r="Q823" s="2"/>
      <c r="R823" s="2"/>
      <c r="S823" s="2"/>
    </row>
    <row r="824" spans="9:19" ht="14.25" customHeight="1">
      <c r="I824" s="2"/>
      <c r="J824" s="2"/>
      <c r="K824" s="2"/>
      <c r="L824" s="2"/>
      <c r="M824" s="2"/>
      <c r="N824" s="2"/>
      <c r="O824" s="2"/>
      <c r="P824" s="2"/>
      <c r="Q824" s="2"/>
      <c r="R824" s="2"/>
      <c r="S824" s="2"/>
    </row>
    <row r="825" spans="9:19" ht="14.25" customHeight="1">
      <c r="I825" s="2"/>
      <c r="J825" s="2"/>
      <c r="K825" s="2"/>
      <c r="L825" s="2"/>
      <c r="M825" s="2"/>
      <c r="N825" s="2"/>
      <c r="O825" s="2"/>
      <c r="P825" s="2"/>
      <c r="Q825" s="2"/>
      <c r="R825" s="2"/>
      <c r="S825" s="2"/>
    </row>
    <row r="826" spans="9:19" ht="14.25" customHeight="1">
      <c r="I826" s="2"/>
      <c r="J826" s="2"/>
      <c r="K826" s="2"/>
      <c r="L826" s="2"/>
      <c r="M826" s="2"/>
      <c r="N826" s="2"/>
      <c r="O826" s="2"/>
      <c r="P826" s="2"/>
      <c r="Q826" s="2"/>
      <c r="R826" s="2"/>
      <c r="S826" s="2"/>
    </row>
    <row r="827" spans="9:19" ht="14.25" customHeight="1">
      <c r="I827" s="2"/>
      <c r="J827" s="2"/>
      <c r="K827" s="2"/>
      <c r="L827" s="2"/>
      <c r="M827" s="2"/>
      <c r="N827" s="2"/>
      <c r="O827" s="2"/>
      <c r="P827" s="2"/>
      <c r="Q827" s="2"/>
      <c r="R827" s="2"/>
      <c r="S827" s="2"/>
    </row>
    <row r="828" spans="9:19" ht="14.25" customHeight="1">
      <c r="I828" s="2"/>
      <c r="J828" s="2"/>
      <c r="K828" s="2"/>
      <c r="L828" s="2"/>
      <c r="M828" s="2"/>
      <c r="N828" s="2"/>
      <c r="O828" s="2"/>
      <c r="P828" s="2"/>
      <c r="Q828" s="2"/>
      <c r="R828" s="2"/>
      <c r="S828" s="2"/>
    </row>
    <row r="829" spans="9:19" ht="14.25" customHeight="1">
      <c r="I829" s="2"/>
      <c r="J829" s="2"/>
      <c r="K829" s="2"/>
      <c r="L829" s="2"/>
      <c r="M829" s="2"/>
      <c r="N829" s="2"/>
      <c r="O829" s="2"/>
      <c r="P829" s="2"/>
      <c r="Q829" s="2"/>
      <c r="R829" s="2"/>
      <c r="S829" s="2"/>
    </row>
    <row r="830" spans="9:19" ht="14.25" customHeight="1">
      <c r="I830" s="2"/>
      <c r="J830" s="2"/>
      <c r="K830" s="2"/>
      <c r="L830" s="2"/>
      <c r="M830" s="2"/>
      <c r="N830" s="2"/>
      <c r="O830" s="2"/>
      <c r="P830" s="2"/>
      <c r="Q830" s="2"/>
      <c r="R830" s="2"/>
      <c r="S830" s="2"/>
    </row>
    <row r="831" spans="9:19" ht="14.25" customHeight="1">
      <c r="I831" s="2"/>
      <c r="J831" s="2"/>
      <c r="K831" s="2"/>
      <c r="L831" s="2"/>
      <c r="M831" s="2"/>
      <c r="N831" s="2"/>
      <c r="O831" s="2"/>
      <c r="P831" s="2"/>
      <c r="Q831" s="2"/>
      <c r="R831" s="2"/>
      <c r="S831" s="2"/>
    </row>
    <row r="832" spans="9:19" ht="14.25" customHeight="1">
      <c r="I832" s="2"/>
      <c r="J832" s="2"/>
      <c r="K832" s="2"/>
      <c r="L832" s="2"/>
      <c r="M832" s="2"/>
      <c r="N832" s="2"/>
      <c r="O832" s="2"/>
      <c r="P832" s="2"/>
      <c r="Q832" s="2"/>
      <c r="R832" s="2"/>
      <c r="S832" s="2"/>
    </row>
    <row r="833" spans="9:19" ht="14.25" customHeight="1">
      <c r="I833" s="2"/>
      <c r="J833" s="2"/>
      <c r="K833" s="2"/>
      <c r="L833" s="2"/>
      <c r="M833" s="2"/>
      <c r="N833" s="2"/>
      <c r="O833" s="2"/>
      <c r="P833" s="2"/>
      <c r="Q833" s="2"/>
      <c r="R833" s="2"/>
      <c r="S833" s="2"/>
    </row>
    <row r="834" spans="9:19" ht="14.25" customHeight="1">
      <c r="I834" s="2"/>
      <c r="J834" s="2"/>
      <c r="K834" s="2"/>
      <c r="L834" s="2"/>
      <c r="M834" s="2"/>
      <c r="N834" s="2"/>
      <c r="O834" s="2"/>
      <c r="P834" s="2"/>
      <c r="Q834" s="2"/>
      <c r="R834" s="2"/>
      <c r="S834" s="2"/>
    </row>
    <row r="835" spans="9:19" ht="14.25" customHeight="1">
      <c r="I835" s="2"/>
      <c r="J835" s="2"/>
      <c r="K835" s="2"/>
      <c r="L835" s="2"/>
      <c r="M835" s="2"/>
      <c r="N835" s="2"/>
      <c r="O835" s="2"/>
      <c r="P835" s="2"/>
      <c r="Q835" s="2"/>
      <c r="R835" s="2"/>
      <c r="S835" s="2"/>
    </row>
    <row r="836" spans="9:19" ht="14.25" customHeight="1">
      <c r="I836" s="2"/>
      <c r="J836" s="2"/>
      <c r="K836" s="2"/>
      <c r="L836" s="2"/>
      <c r="M836" s="2"/>
      <c r="N836" s="2"/>
      <c r="O836" s="2"/>
      <c r="P836" s="2"/>
      <c r="Q836" s="2"/>
      <c r="R836" s="2"/>
      <c r="S836" s="2"/>
    </row>
    <row r="837" spans="9:19" ht="14.25" customHeight="1">
      <c r="I837" s="2"/>
      <c r="J837" s="2"/>
      <c r="K837" s="2"/>
      <c r="L837" s="2"/>
      <c r="M837" s="2"/>
      <c r="N837" s="2"/>
      <c r="O837" s="2"/>
      <c r="P837" s="2"/>
      <c r="Q837" s="2"/>
      <c r="R837" s="2"/>
      <c r="S837" s="2"/>
    </row>
    <row r="838" spans="9:19" ht="14.25" customHeight="1">
      <c r="I838" s="2"/>
      <c r="J838" s="2"/>
      <c r="K838" s="2"/>
      <c r="L838" s="2"/>
      <c r="M838" s="2"/>
      <c r="N838" s="2"/>
      <c r="O838" s="2"/>
      <c r="P838" s="2"/>
      <c r="Q838" s="2"/>
      <c r="R838" s="2"/>
      <c r="S838" s="2"/>
    </row>
    <row r="839" spans="9:19" ht="14.25" customHeight="1">
      <c r="I839" s="2"/>
      <c r="J839" s="2"/>
      <c r="K839" s="2"/>
      <c r="L839" s="2"/>
      <c r="M839" s="2"/>
      <c r="N839" s="2"/>
      <c r="O839" s="2"/>
      <c r="P839" s="2"/>
      <c r="Q839" s="2"/>
      <c r="R839" s="2"/>
      <c r="S839" s="2"/>
    </row>
    <row r="840" spans="9:19" ht="14.25" customHeight="1">
      <c r="I840" s="2"/>
      <c r="J840" s="2"/>
      <c r="K840" s="2"/>
      <c r="L840" s="2"/>
      <c r="M840" s="2"/>
      <c r="N840" s="2"/>
      <c r="O840" s="2"/>
      <c r="P840" s="2"/>
      <c r="Q840" s="2"/>
      <c r="R840" s="2"/>
      <c r="S840" s="2"/>
    </row>
    <row r="841" spans="9:19" ht="14.25" customHeight="1">
      <c r="I841" s="2"/>
      <c r="J841" s="2"/>
      <c r="K841" s="2"/>
      <c r="L841" s="2"/>
      <c r="M841" s="2"/>
      <c r="N841" s="2"/>
      <c r="O841" s="2"/>
      <c r="P841" s="2"/>
      <c r="Q841" s="2"/>
      <c r="R841" s="2"/>
      <c r="S841" s="2"/>
    </row>
    <row r="842" spans="9:19" ht="14.25" customHeight="1">
      <c r="I842" s="2"/>
      <c r="J842" s="2"/>
      <c r="K842" s="2"/>
      <c r="L842" s="2"/>
      <c r="M842" s="2"/>
      <c r="N842" s="2"/>
      <c r="O842" s="2"/>
      <c r="P842" s="2"/>
      <c r="Q842" s="2"/>
      <c r="R842" s="2"/>
      <c r="S842" s="2"/>
    </row>
    <row r="843" spans="9:19" ht="14.25" customHeight="1">
      <c r="I843" s="2"/>
      <c r="J843" s="2"/>
      <c r="K843" s="2"/>
      <c r="L843" s="2"/>
      <c r="M843" s="2"/>
      <c r="N843" s="2"/>
      <c r="O843" s="2"/>
      <c r="P843" s="2"/>
      <c r="Q843" s="2"/>
      <c r="R843" s="2"/>
      <c r="S843" s="2"/>
    </row>
    <row r="844" spans="9:19" ht="14.25" customHeight="1">
      <c r="I844" s="2"/>
      <c r="J844" s="2"/>
      <c r="K844" s="2"/>
      <c r="L844" s="2"/>
      <c r="M844" s="2"/>
      <c r="N844" s="2"/>
      <c r="O844" s="2"/>
      <c r="P844" s="2"/>
      <c r="Q844" s="2"/>
      <c r="R844" s="2"/>
      <c r="S844" s="2"/>
    </row>
    <row r="845" spans="9:19" ht="14.25" customHeight="1">
      <c r="I845" s="2"/>
      <c r="J845" s="2"/>
      <c r="K845" s="2"/>
      <c r="L845" s="2"/>
      <c r="M845" s="2"/>
      <c r="N845" s="2"/>
      <c r="O845" s="2"/>
      <c r="P845" s="2"/>
      <c r="Q845" s="2"/>
      <c r="R845" s="2"/>
      <c r="S845" s="2"/>
    </row>
    <row r="846" spans="9:19" ht="14.25" customHeight="1">
      <c r="I846" s="2"/>
      <c r="J846" s="2"/>
      <c r="K846" s="2"/>
      <c r="L846" s="2"/>
      <c r="M846" s="2"/>
      <c r="N846" s="2"/>
      <c r="O846" s="2"/>
      <c r="P846" s="2"/>
      <c r="Q846" s="2"/>
      <c r="R846" s="2"/>
      <c r="S846" s="2"/>
    </row>
    <row r="847" spans="9:19" ht="14.25" customHeight="1">
      <c r="I847" s="2"/>
      <c r="J847" s="2"/>
      <c r="K847" s="2"/>
      <c r="L847" s="2"/>
      <c r="M847" s="2"/>
      <c r="N847" s="2"/>
      <c r="O847" s="2"/>
      <c r="P847" s="2"/>
      <c r="Q847" s="2"/>
      <c r="R847" s="2"/>
      <c r="S847" s="2"/>
    </row>
    <row r="848" spans="9:19" ht="14.25" customHeight="1">
      <c r="I848" s="2"/>
      <c r="J848" s="2"/>
      <c r="K848" s="2"/>
      <c r="L848" s="2"/>
      <c r="M848" s="2"/>
      <c r="N848" s="2"/>
      <c r="O848" s="2"/>
      <c r="P848" s="2"/>
      <c r="Q848" s="2"/>
      <c r="R848" s="2"/>
      <c r="S848" s="2"/>
    </row>
    <row r="849" spans="9:19" ht="14.25" customHeight="1">
      <c r="I849" s="2"/>
      <c r="J849" s="2"/>
      <c r="K849" s="2"/>
      <c r="L849" s="2"/>
      <c r="M849" s="2"/>
      <c r="N849" s="2"/>
      <c r="O849" s="2"/>
      <c r="P849" s="2"/>
      <c r="Q849" s="2"/>
      <c r="R849" s="2"/>
      <c r="S849" s="2"/>
    </row>
    <row r="850" spans="9:19" ht="14.25" customHeight="1">
      <c r="I850" s="2"/>
      <c r="J850" s="2"/>
      <c r="K850" s="2"/>
      <c r="L850" s="2"/>
      <c r="M850" s="2"/>
      <c r="N850" s="2"/>
      <c r="O850" s="2"/>
      <c r="P850" s="2"/>
      <c r="Q850" s="2"/>
      <c r="R850" s="2"/>
      <c r="S850" s="2"/>
    </row>
    <row r="851" spans="9:19" ht="14.25" customHeight="1">
      <c r="I851" s="2"/>
      <c r="J851" s="2"/>
      <c r="K851" s="2"/>
      <c r="L851" s="2"/>
      <c r="M851" s="2"/>
      <c r="N851" s="2"/>
      <c r="O851" s="2"/>
      <c r="P851" s="2"/>
      <c r="Q851" s="2"/>
      <c r="R851" s="2"/>
      <c r="S851" s="2"/>
    </row>
    <row r="852" spans="9:19" ht="14.25" customHeight="1">
      <c r="I852" s="2"/>
      <c r="J852" s="2"/>
      <c r="K852" s="2"/>
      <c r="L852" s="2"/>
      <c r="M852" s="2"/>
      <c r="N852" s="2"/>
      <c r="O852" s="2"/>
      <c r="P852" s="2"/>
      <c r="Q852" s="2"/>
      <c r="R852" s="2"/>
      <c r="S852" s="2"/>
    </row>
    <row r="853" spans="9:19" ht="14.25" customHeight="1">
      <c r="I853" s="2"/>
      <c r="J853" s="2"/>
      <c r="K853" s="2"/>
      <c r="L853" s="2"/>
      <c r="M853" s="2"/>
      <c r="N853" s="2"/>
      <c r="O853" s="2"/>
      <c r="P853" s="2"/>
      <c r="Q853" s="2"/>
      <c r="R853" s="2"/>
      <c r="S853" s="2"/>
    </row>
    <row r="854" spans="9:19" ht="14.25" customHeight="1">
      <c r="I854" s="2"/>
      <c r="J854" s="2"/>
      <c r="K854" s="2"/>
      <c r="L854" s="2"/>
      <c r="M854" s="2"/>
      <c r="N854" s="2"/>
      <c r="O854" s="2"/>
      <c r="P854" s="2"/>
      <c r="Q854" s="2"/>
      <c r="R854" s="2"/>
      <c r="S854" s="2"/>
    </row>
    <row r="855" spans="9:19" ht="14.25" customHeight="1">
      <c r="I855" s="2"/>
      <c r="J855" s="2"/>
      <c r="K855" s="2"/>
      <c r="L855" s="2"/>
      <c r="M855" s="2"/>
      <c r="N855" s="2"/>
      <c r="O855" s="2"/>
      <c r="P855" s="2"/>
      <c r="Q855" s="2"/>
      <c r="R855" s="2"/>
      <c r="S855" s="2"/>
    </row>
    <row r="856" spans="9:19" ht="14.25" customHeight="1">
      <c r="I856" s="2"/>
      <c r="J856" s="2"/>
      <c r="K856" s="2"/>
      <c r="L856" s="2"/>
      <c r="M856" s="2"/>
      <c r="N856" s="2"/>
      <c r="O856" s="2"/>
      <c r="P856" s="2"/>
      <c r="Q856" s="2"/>
      <c r="R856" s="2"/>
      <c r="S856" s="2"/>
    </row>
    <row r="857" spans="9:19" ht="14.25" customHeight="1">
      <c r="I857" s="2"/>
      <c r="J857" s="2"/>
      <c r="K857" s="2"/>
      <c r="L857" s="2"/>
      <c r="M857" s="2"/>
      <c r="N857" s="2"/>
      <c r="O857" s="2"/>
      <c r="P857" s="2"/>
      <c r="Q857" s="2"/>
      <c r="R857" s="2"/>
      <c r="S857" s="2"/>
    </row>
    <row r="858" spans="9:19" ht="14.25" customHeight="1">
      <c r="I858" s="2"/>
      <c r="J858" s="2"/>
      <c r="K858" s="2"/>
      <c r="L858" s="2"/>
      <c r="M858" s="2"/>
      <c r="N858" s="2"/>
      <c r="O858" s="2"/>
      <c r="P858" s="2"/>
      <c r="Q858" s="2"/>
      <c r="R858" s="2"/>
      <c r="S858" s="2"/>
    </row>
    <row r="859" spans="9:19" ht="14.25" customHeight="1">
      <c r="I859" s="2"/>
      <c r="J859" s="2"/>
      <c r="K859" s="2"/>
      <c r="L859" s="2"/>
      <c r="M859" s="2"/>
      <c r="N859" s="2"/>
      <c r="O859" s="2"/>
      <c r="P859" s="2"/>
      <c r="Q859" s="2"/>
      <c r="R859" s="2"/>
      <c r="S859" s="2"/>
    </row>
    <row r="860" spans="9:19" ht="14.25" customHeight="1">
      <c r="I860" s="2"/>
      <c r="J860" s="2"/>
      <c r="K860" s="2"/>
      <c r="L860" s="2"/>
      <c r="M860" s="2"/>
      <c r="N860" s="2"/>
      <c r="O860" s="2"/>
      <c r="P860" s="2"/>
      <c r="Q860" s="2"/>
      <c r="R860" s="2"/>
      <c r="S860" s="2"/>
    </row>
    <row r="861" spans="9:19" ht="14.25" customHeight="1">
      <c r="I861" s="2"/>
      <c r="J861" s="2"/>
      <c r="K861" s="2"/>
      <c r="L861" s="2"/>
      <c r="M861" s="2"/>
      <c r="N861" s="2"/>
      <c r="O861" s="2"/>
      <c r="P861" s="2"/>
      <c r="Q861" s="2"/>
      <c r="R861" s="2"/>
      <c r="S861" s="2"/>
    </row>
    <row r="862" spans="9:19" ht="14.25" customHeight="1">
      <c r="I862" s="2"/>
      <c r="J862" s="2"/>
      <c r="K862" s="2"/>
      <c r="L862" s="2"/>
      <c r="M862" s="2"/>
      <c r="N862" s="2"/>
      <c r="O862" s="2"/>
      <c r="P862" s="2"/>
      <c r="Q862" s="2"/>
      <c r="R862" s="2"/>
      <c r="S862" s="2"/>
    </row>
    <row r="863" spans="9:19" ht="14.25" customHeight="1">
      <c r="I863" s="2"/>
      <c r="J863" s="2"/>
      <c r="K863" s="2"/>
      <c r="L863" s="2"/>
      <c r="M863" s="2"/>
      <c r="N863" s="2"/>
      <c r="O863" s="2"/>
      <c r="P863" s="2"/>
      <c r="Q863" s="2"/>
      <c r="R863" s="2"/>
      <c r="S863" s="2"/>
    </row>
    <row r="864" spans="9:19" ht="14.25" customHeight="1">
      <c r="I864" s="2"/>
      <c r="J864" s="2"/>
      <c r="K864" s="2"/>
      <c r="L864" s="2"/>
      <c r="M864" s="2"/>
      <c r="N864" s="2"/>
      <c r="O864" s="2"/>
      <c r="P864" s="2"/>
      <c r="Q864" s="2"/>
      <c r="R864" s="2"/>
      <c r="S864" s="2"/>
    </row>
    <row r="865" spans="9:19" ht="14.25" customHeight="1">
      <c r="I865" s="2"/>
      <c r="J865" s="2"/>
      <c r="K865" s="2"/>
      <c r="L865" s="2"/>
      <c r="M865" s="2"/>
      <c r="N865" s="2"/>
      <c r="O865" s="2"/>
      <c r="P865" s="2"/>
      <c r="Q865" s="2"/>
      <c r="R865" s="2"/>
      <c r="S865" s="2"/>
    </row>
    <row r="866" spans="9:19" ht="14.25" customHeight="1">
      <c r="I866" s="2"/>
      <c r="J866" s="2"/>
      <c r="K866" s="2"/>
      <c r="L866" s="2"/>
      <c r="M866" s="2"/>
      <c r="N866" s="2"/>
      <c r="O866" s="2"/>
      <c r="P866" s="2"/>
      <c r="Q866" s="2"/>
      <c r="R866" s="2"/>
      <c r="S866" s="2"/>
    </row>
    <row r="867" spans="9:19" ht="14.25" customHeight="1">
      <c r="I867" s="2"/>
      <c r="J867" s="2"/>
      <c r="K867" s="2"/>
      <c r="L867" s="2"/>
      <c r="M867" s="2"/>
      <c r="N867" s="2"/>
      <c r="O867" s="2"/>
      <c r="P867" s="2"/>
      <c r="Q867" s="2"/>
      <c r="R867" s="2"/>
      <c r="S867" s="2"/>
    </row>
    <row r="868" spans="9:19" ht="14.25" customHeight="1">
      <c r="I868" s="2"/>
      <c r="J868" s="2"/>
      <c r="K868" s="2"/>
      <c r="L868" s="2"/>
      <c r="M868" s="2"/>
      <c r="N868" s="2"/>
      <c r="O868" s="2"/>
      <c r="P868" s="2"/>
      <c r="Q868" s="2"/>
      <c r="R868" s="2"/>
      <c r="S868" s="2"/>
    </row>
    <row r="869" spans="9:19" ht="14.25" customHeight="1">
      <c r="I869" s="2"/>
      <c r="J869" s="2"/>
      <c r="K869" s="2"/>
      <c r="L869" s="2"/>
      <c r="M869" s="2"/>
      <c r="N869" s="2"/>
      <c r="O869" s="2"/>
      <c r="P869" s="2"/>
      <c r="Q869" s="2"/>
      <c r="R869" s="2"/>
      <c r="S869" s="2"/>
    </row>
    <row r="870" spans="9:19" ht="14.25" customHeight="1">
      <c r="I870" s="2"/>
      <c r="J870" s="2"/>
      <c r="K870" s="2"/>
      <c r="L870" s="2"/>
      <c r="M870" s="2"/>
      <c r="N870" s="2"/>
      <c r="O870" s="2"/>
      <c r="P870" s="2"/>
      <c r="Q870" s="2"/>
      <c r="R870" s="2"/>
      <c r="S870" s="2"/>
    </row>
    <row r="871" spans="9:19" ht="14.25" customHeight="1">
      <c r="I871" s="2"/>
      <c r="J871" s="2"/>
      <c r="K871" s="2"/>
      <c r="L871" s="2"/>
      <c r="M871" s="2"/>
      <c r="N871" s="2"/>
      <c r="O871" s="2"/>
      <c r="P871" s="2"/>
      <c r="Q871" s="2"/>
      <c r="R871" s="2"/>
      <c r="S871" s="2"/>
    </row>
    <row r="872" spans="9:19" ht="14.25" customHeight="1">
      <c r="I872" s="2"/>
      <c r="J872" s="2"/>
      <c r="K872" s="2"/>
      <c r="L872" s="2"/>
      <c r="M872" s="2"/>
      <c r="N872" s="2"/>
      <c r="O872" s="2"/>
      <c r="P872" s="2"/>
      <c r="Q872" s="2"/>
      <c r="R872" s="2"/>
      <c r="S872" s="2"/>
    </row>
    <row r="873" spans="9:19" ht="14.25" customHeight="1">
      <c r="I873" s="2"/>
      <c r="J873" s="2"/>
      <c r="K873" s="2"/>
      <c r="L873" s="2"/>
      <c r="M873" s="2"/>
      <c r="N873" s="2"/>
      <c r="O873" s="2"/>
      <c r="P873" s="2"/>
      <c r="Q873" s="2"/>
      <c r="R873" s="2"/>
      <c r="S873" s="2"/>
    </row>
    <row r="874" spans="9:19" ht="14.25" customHeight="1">
      <c r="I874" s="2"/>
      <c r="J874" s="2"/>
      <c r="K874" s="2"/>
      <c r="L874" s="2"/>
      <c r="M874" s="2"/>
      <c r="N874" s="2"/>
      <c r="O874" s="2"/>
      <c r="P874" s="2"/>
      <c r="Q874" s="2"/>
      <c r="R874" s="2"/>
      <c r="S874" s="2"/>
    </row>
    <row r="875" spans="9:19" ht="14.25" customHeight="1">
      <c r="I875" s="2"/>
      <c r="J875" s="2"/>
      <c r="K875" s="2"/>
      <c r="L875" s="2"/>
      <c r="M875" s="2"/>
      <c r="N875" s="2"/>
      <c r="O875" s="2"/>
      <c r="P875" s="2"/>
      <c r="Q875" s="2"/>
      <c r="R875" s="2"/>
      <c r="S875" s="2"/>
    </row>
    <row r="876" spans="9:19" ht="14.25" customHeight="1">
      <c r="I876" s="2"/>
      <c r="J876" s="2"/>
      <c r="K876" s="2"/>
      <c r="L876" s="2"/>
      <c r="M876" s="2"/>
      <c r="N876" s="2"/>
      <c r="O876" s="2"/>
      <c r="P876" s="2"/>
      <c r="Q876" s="2"/>
      <c r="R876" s="2"/>
      <c r="S876" s="2"/>
    </row>
    <row r="877" spans="9:19" ht="14.25" customHeight="1">
      <c r="I877" s="2"/>
      <c r="J877" s="2"/>
      <c r="K877" s="2"/>
      <c r="L877" s="2"/>
      <c r="M877" s="2"/>
      <c r="N877" s="2"/>
      <c r="O877" s="2"/>
      <c r="P877" s="2"/>
      <c r="Q877" s="2"/>
      <c r="R877" s="2"/>
      <c r="S877" s="2"/>
    </row>
    <row r="878" spans="9:19" ht="14.25" customHeight="1">
      <c r="I878" s="2"/>
      <c r="J878" s="2"/>
      <c r="K878" s="2"/>
      <c r="L878" s="2"/>
      <c r="M878" s="2"/>
      <c r="N878" s="2"/>
      <c r="O878" s="2"/>
      <c r="P878" s="2"/>
      <c r="Q878" s="2"/>
      <c r="R878" s="2"/>
      <c r="S878" s="2"/>
    </row>
    <row r="879" spans="9:19" ht="14.25" customHeight="1">
      <c r="I879" s="2"/>
      <c r="J879" s="2"/>
      <c r="K879" s="2"/>
      <c r="L879" s="2"/>
      <c r="M879" s="2"/>
      <c r="N879" s="2"/>
      <c r="O879" s="2"/>
      <c r="P879" s="2"/>
      <c r="Q879" s="2"/>
      <c r="R879" s="2"/>
      <c r="S879" s="2"/>
    </row>
    <row r="880" spans="9:19" ht="14.25" customHeight="1">
      <c r="I880" s="2"/>
      <c r="J880" s="2"/>
      <c r="K880" s="2"/>
      <c r="L880" s="2"/>
      <c r="M880" s="2"/>
      <c r="N880" s="2"/>
      <c r="O880" s="2"/>
      <c r="P880" s="2"/>
      <c r="Q880" s="2"/>
      <c r="R880" s="2"/>
      <c r="S880" s="2"/>
    </row>
    <row r="881" spans="9:19" ht="14.25" customHeight="1">
      <c r="I881" s="2"/>
      <c r="J881" s="2"/>
      <c r="K881" s="2"/>
      <c r="L881" s="2"/>
      <c r="M881" s="2"/>
      <c r="N881" s="2"/>
      <c r="O881" s="2"/>
      <c r="P881" s="2"/>
      <c r="Q881" s="2"/>
      <c r="R881" s="2"/>
      <c r="S881" s="2"/>
    </row>
    <row r="882" spans="9:19" ht="14.25" customHeight="1">
      <c r="I882" s="2"/>
      <c r="J882" s="2"/>
      <c r="K882" s="2"/>
      <c r="L882" s="2"/>
      <c r="M882" s="2"/>
      <c r="N882" s="2"/>
      <c r="O882" s="2"/>
      <c r="P882" s="2"/>
      <c r="Q882" s="2"/>
      <c r="R882" s="2"/>
      <c r="S882" s="2"/>
    </row>
    <row r="883" spans="9:19" ht="14.25" customHeight="1">
      <c r="I883" s="2"/>
      <c r="J883" s="2"/>
      <c r="K883" s="2"/>
      <c r="L883" s="2"/>
      <c r="M883" s="2"/>
      <c r="N883" s="2"/>
      <c r="O883" s="2"/>
      <c r="P883" s="2"/>
      <c r="Q883" s="2"/>
      <c r="R883" s="2"/>
      <c r="S883" s="2"/>
    </row>
    <row r="884" spans="9:19" ht="14.25" customHeight="1">
      <c r="I884" s="2"/>
      <c r="J884" s="2"/>
      <c r="K884" s="2"/>
      <c r="L884" s="2"/>
      <c r="M884" s="2"/>
      <c r="N884" s="2"/>
      <c r="O884" s="2"/>
      <c r="P884" s="2"/>
      <c r="Q884" s="2"/>
      <c r="R884" s="2"/>
      <c r="S884" s="2"/>
    </row>
    <row r="885" spans="9:19" ht="14.25" customHeight="1">
      <c r="I885" s="2"/>
      <c r="J885" s="2"/>
      <c r="K885" s="2"/>
      <c r="L885" s="2"/>
      <c r="M885" s="2"/>
      <c r="N885" s="2"/>
      <c r="O885" s="2"/>
      <c r="P885" s="2"/>
      <c r="Q885" s="2"/>
      <c r="R885" s="2"/>
      <c r="S885" s="2"/>
    </row>
    <row r="886" spans="9:19" ht="14.25" customHeight="1">
      <c r="I886" s="2"/>
      <c r="J886" s="2"/>
      <c r="K886" s="2"/>
      <c r="L886" s="2"/>
      <c r="M886" s="2"/>
      <c r="N886" s="2"/>
      <c r="O886" s="2"/>
      <c r="P886" s="2"/>
      <c r="Q886" s="2"/>
      <c r="R886" s="2"/>
      <c r="S886" s="2"/>
    </row>
    <row r="887" spans="9:19" ht="14.25" customHeight="1">
      <c r="I887" s="2"/>
      <c r="J887" s="2"/>
      <c r="K887" s="2"/>
      <c r="L887" s="2"/>
      <c r="M887" s="2"/>
      <c r="N887" s="2"/>
      <c r="O887" s="2"/>
      <c r="P887" s="2"/>
      <c r="Q887" s="2"/>
      <c r="R887" s="2"/>
      <c r="S887" s="2"/>
    </row>
    <row r="888" spans="9:19" ht="14.25" customHeight="1">
      <c r="I888" s="2"/>
      <c r="J888" s="2"/>
      <c r="K888" s="2"/>
      <c r="L888" s="2"/>
      <c r="M888" s="2"/>
      <c r="N888" s="2"/>
      <c r="O888" s="2"/>
      <c r="P888" s="2"/>
      <c r="Q888" s="2"/>
      <c r="R888" s="2"/>
      <c r="S888" s="2"/>
    </row>
    <row r="889" spans="9:19" ht="14.25" customHeight="1">
      <c r="I889" s="2"/>
      <c r="J889" s="2"/>
      <c r="K889" s="2"/>
      <c r="L889" s="2"/>
      <c r="M889" s="2"/>
      <c r="N889" s="2"/>
      <c r="O889" s="2"/>
      <c r="P889" s="2"/>
      <c r="Q889" s="2"/>
      <c r="R889" s="2"/>
      <c r="S889" s="2"/>
    </row>
    <row r="890" spans="9:19" ht="14.25" customHeight="1">
      <c r="I890" s="2"/>
      <c r="J890" s="2"/>
      <c r="K890" s="2"/>
      <c r="L890" s="2"/>
      <c r="M890" s="2"/>
      <c r="N890" s="2"/>
      <c r="O890" s="2"/>
      <c r="P890" s="2"/>
      <c r="Q890" s="2"/>
      <c r="R890" s="2"/>
      <c r="S890" s="2"/>
    </row>
    <row r="891" spans="9:19" ht="14.25" customHeight="1">
      <c r="I891" s="2"/>
      <c r="J891" s="2"/>
      <c r="K891" s="2"/>
      <c r="L891" s="2"/>
      <c r="M891" s="2"/>
      <c r="N891" s="2"/>
      <c r="O891" s="2"/>
      <c r="P891" s="2"/>
      <c r="Q891" s="2"/>
      <c r="R891" s="2"/>
      <c r="S891" s="2"/>
    </row>
    <row r="892" spans="9:19" ht="14.25" customHeight="1">
      <c r="I892" s="2"/>
      <c r="J892" s="2"/>
      <c r="K892" s="2"/>
      <c r="L892" s="2"/>
      <c r="M892" s="2"/>
      <c r="N892" s="2"/>
      <c r="O892" s="2"/>
      <c r="P892" s="2"/>
      <c r="Q892" s="2"/>
      <c r="R892" s="2"/>
      <c r="S892" s="2"/>
    </row>
    <row r="893" spans="9:19" ht="14.25" customHeight="1">
      <c r="I893" s="2"/>
      <c r="J893" s="2"/>
      <c r="K893" s="2"/>
      <c r="L893" s="2"/>
      <c r="M893" s="2"/>
      <c r="N893" s="2"/>
      <c r="O893" s="2"/>
      <c r="P893" s="2"/>
      <c r="Q893" s="2"/>
      <c r="R893" s="2"/>
      <c r="S893" s="2"/>
    </row>
    <row r="894" spans="9:19" ht="14.25" customHeight="1">
      <c r="I894" s="2"/>
      <c r="J894" s="2"/>
      <c r="K894" s="2"/>
      <c r="L894" s="2"/>
      <c r="M894" s="2"/>
      <c r="N894" s="2"/>
      <c r="O894" s="2"/>
      <c r="P894" s="2"/>
      <c r="Q894" s="2"/>
      <c r="R894" s="2"/>
      <c r="S894" s="2"/>
    </row>
    <row r="895" spans="9:19" ht="14.25" customHeight="1">
      <c r="I895" s="2"/>
      <c r="J895" s="2"/>
      <c r="K895" s="2"/>
      <c r="L895" s="2"/>
      <c r="M895" s="2"/>
      <c r="N895" s="2"/>
      <c r="O895" s="2"/>
      <c r="P895" s="2"/>
      <c r="Q895" s="2"/>
      <c r="R895" s="2"/>
      <c r="S895" s="2"/>
    </row>
    <row r="896" spans="9:19" ht="14.25" customHeight="1">
      <c r="I896" s="2"/>
      <c r="J896" s="2"/>
      <c r="K896" s="2"/>
      <c r="L896" s="2"/>
      <c r="M896" s="2"/>
      <c r="N896" s="2"/>
      <c r="O896" s="2"/>
      <c r="P896" s="2"/>
      <c r="Q896" s="2"/>
      <c r="R896" s="2"/>
      <c r="S896" s="2"/>
    </row>
    <row r="897" spans="9:19" ht="14.25" customHeight="1">
      <c r="I897" s="2"/>
      <c r="J897" s="2"/>
      <c r="K897" s="2"/>
      <c r="L897" s="2"/>
      <c r="M897" s="2"/>
      <c r="N897" s="2"/>
      <c r="O897" s="2"/>
      <c r="P897" s="2"/>
      <c r="Q897" s="2"/>
      <c r="R897" s="2"/>
      <c r="S897" s="2"/>
    </row>
    <row r="898" spans="9:19" ht="14.25" customHeight="1">
      <c r="I898" s="2"/>
      <c r="J898" s="2"/>
      <c r="K898" s="2"/>
      <c r="L898" s="2"/>
      <c r="M898" s="2"/>
      <c r="N898" s="2"/>
      <c r="O898" s="2"/>
      <c r="P898" s="2"/>
      <c r="Q898" s="2"/>
      <c r="R898" s="2"/>
      <c r="S898" s="2"/>
    </row>
    <row r="899" spans="9:19" ht="14.25" customHeight="1">
      <c r="I899" s="2"/>
      <c r="J899" s="2"/>
      <c r="K899" s="2"/>
      <c r="L899" s="2"/>
      <c r="M899" s="2"/>
      <c r="N899" s="2"/>
      <c r="O899" s="2"/>
      <c r="P899" s="2"/>
      <c r="Q899" s="2"/>
      <c r="R899" s="2"/>
      <c r="S899" s="2"/>
    </row>
    <row r="900" spans="9:19" ht="14.25" customHeight="1">
      <c r="I900" s="2"/>
      <c r="J900" s="2"/>
      <c r="K900" s="2"/>
      <c r="L900" s="2"/>
      <c r="M900" s="2"/>
      <c r="N900" s="2"/>
      <c r="O900" s="2"/>
      <c r="P900" s="2"/>
      <c r="Q900" s="2"/>
      <c r="R900" s="2"/>
      <c r="S900" s="2"/>
    </row>
    <row r="901" spans="9:19" ht="14.25" customHeight="1">
      <c r="I901" s="2"/>
      <c r="J901" s="2"/>
      <c r="K901" s="2"/>
      <c r="L901" s="2"/>
      <c r="M901" s="2"/>
      <c r="N901" s="2"/>
      <c r="O901" s="2"/>
      <c r="P901" s="2"/>
      <c r="Q901" s="2"/>
      <c r="R901" s="2"/>
      <c r="S901" s="2"/>
    </row>
    <row r="902" spans="9:19" ht="14.25" customHeight="1">
      <c r="I902" s="2"/>
      <c r="J902" s="2"/>
      <c r="K902" s="2"/>
      <c r="L902" s="2"/>
      <c r="M902" s="2"/>
      <c r="N902" s="2"/>
      <c r="O902" s="2"/>
      <c r="P902" s="2"/>
      <c r="Q902" s="2"/>
      <c r="R902" s="2"/>
      <c r="S902" s="2"/>
    </row>
    <row r="903" spans="9:19" ht="14.25" customHeight="1">
      <c r="I903" s="2"/>
      <c r="J903" s="2"/>
      <c r="K903" s="2"/>
      <c r="L903" s="2"/>
      <c r="M903" s="2"/>
      <c r="N903" s="2"/>
      <c r="O903" s="2"/>
      <c r="P903" s="2"/>
      <c r="Q903" s="2"/>
      <c r="R903" s="2"/>
      <c r="S903" s="2"/>
    </row>
    <row r="904" spans="9:19" ht="14.25" customHeight="1">
      <c r="I904" s="2"/>
      <c r="J904" s="2"/>
      <c r="K904" s="2"/>
      <c r="L904" s="2"/>
      <c r="M904" s="2"/>
      <c r="N904" s="2"/>
      <c r="O904" s="2"/>
      <c r="P904" s="2"/>
      <c r="Q904" s="2"/>
      <c r="R904" s="2"/>
      <c r="S904" s="2"/>
    </row>
    <row r="905" spans="9:19" ht="14.25" customHeight="1">
      <c r="I905" s="2"/>
      <c r="J905" s="2"/>
      <c r="K905" s="2"/>
      <c r="L905" s="2"/>
      <c r="M905" s="2"/>
      <c r="N905" s="2"/>
      <c r="O905" s="2"/>
      <c r="P905" s="2"/>
      <c r="Q905" s="2"/>
      <c r="R905" s="2"/>
      <c r="S905" s="2"/>
    </row>
    <row r="906" spans="9:19" ht="14.25" customHeight="1">
      <c r="I906" s="2"/>
      <c r="J906" s="2"/>
      <c r="K906" s="2"/>
      <c r="L906" s="2"/>
      <c r="M906" s="2"/>
      <c r="N906" s="2"/>
      <c r="O906" s="2"/>
      <c r="P906" s="2"/>
      <c r="Q906" s="2"/>
      <c r="R906" s="2"/>
      <c r="S906" s="2"/>
    </row>
    <row r="907" spans="9:19" ht="14.25" customHeight="1">
      <c r="I907" s="2"/>
      <c r="J907" s="2"/>
      <c r="K907" s="2"/>
      <c r="L907" s="2"/>
      <c r="M907" s="2"/>
      <c r="N907" s="2"/>
      <c r="O907" s="2"/>
      <c r="P907" s="2"/>
      <c r="Q907" s="2"/>
      <c r="R907" s="2"/>
      <c r="S907" s="2"/>
    </row>
    <row r="908" spans="9:19" ht="14.25" customHeight="1">
      <c r="I908" s="2"/>
      <c r="J908" s="2"/>
      <c r="K908" s="2"/>
      <c r="L908" s="2"/>
      <c r="M908" s="2"/>
      <c r="N908" s="2"/>
      <c r="O908" s="2"/>
      <c r="P908" s="2"/>
      <c r="Q908" s="2"/>
      <c r="R908" s="2"/>
      <c r="S908" s="2"/>
    </row>
    <row r="909" spans="9:19" ht="14.25" customHeight="1">
      <c r="I909" s="2"/>
      <c r="J909" s="2"/>
      <c r="K909" s="2"/>
      <c r="L909" s="2"/>
      <c r="M909" s="2"/>
      <c r="N909" s="2"/>
      <c r="O909" s="2"/>
      <c r="P909" s="2"/>
      <c r="Q909" s="2"/>
      <c r="R909" s="2"/>
      <c r="S909" s="2"/>
    </row>
    <row r="910" spans="9:19" ht="14.25" customHeight="1">
      <c r="I910" s="2"/>
      <c r="J910" s="2"/>
      <c r="K910" s="2"/>
      <c r="L910" s="2"/>
      <c r="M910" s="2"/>
      <c r="N910" s="2"/>
      <c r="O910" s="2"/>
      <c r="P910" s="2"/>
      <c r="Q910" s="2"/>
      <c r="R910" s="2"/>
      <c r="S910" s="2"/>
    </row>
    <row r="911" spans="9:19" ht="14.25" customHeight="1">
      <c r="I911" s="2"/>
      <c r="J911" s="2"/>
      <c r="K911" s="2"/>
      <c r="L911" s="2"/>
      <c r="M911" s="2"/>
      <c r="N911" s="2"/>
      <c r="O911" s="2"/>
      <c r="P911" s="2"/>
      <c r="Q911" s="2"/>
      <c r="R911" s="2"/>
      <c r="S911" s="2"/>
    </row>
    <row r="912" spans="9:19" ht="14.25" customHeight="1">
      <c r="I912" s="2"/>
      <c r="J912" s="2"/>
      <c r="K912" s="2"/>
      <c r="L912" s="2"/>
      <c r="M912" s="2"/>
      <c r="N912" s="2"/>
      <c r="O912" s="2"/>
      <c r="P912" s="2"/>
      <c r="Q912" s="2"/>
      <c r="R912" s="2"/>
      <c r="S912" s="2"/>
    </row>
    <row r="913" spans="9:19" ht="14.25" customHeight="1">
      <c r="I913" s="2"/>
      <c r="J913" s="2"/>
      <c r="K913" s="2"/>
      <c r="L913" s="2"/>
      <c r="M913" s="2"/>
      <c r="N913" s="2"/>
      <c r="O913" s="2"/>
      <c r="P913" s="2"/>
      <c r="Q913" s="2"/>
      <c r="R913" s="2"/>
      <c r="S913" s="2"/>
    </row>
    <row r="914" spans="9:19" ht="14.25" customHeight="1">
      <c r="I914" s="2"/>
      <c r="J914" s="2"/>
      <c r="K914" s="2"/>
      <c r="L914" s="2"/>
      <c r="M914" s="2"/>
      <c r="N914" s="2"/>
      <c r="O914" s="2"/>
      <c r="P914" s="2"/>
      <c r="Q914" s="2"/>
      <c r="R914" s="2"/>
      <c r="S914" s="2"/>
    </row>
    <row r="915" spans="9:19" ht="14.25" customHeight="1">
      <c r="I915" s="2"/>
      <c r="J915" s="2"/>
      <c r="K915" s="2"/>
      <c r="L915" s="2"/>
      <c r="M915" s="2"/>
      <c r="N915" s="2"/>
      <c r="O915" s="2"/>
      <c r="P915" s="2"/>
      <c r="Q915" s="2"/>
      <c r="R915" s="2"/>
      <c r="S915" s="2"/>
    </row>
    <row r="916" spans="9:19" ht="14.25" customHeight="1">
      <c r="I916" s="2"/>
      <c r="J916" s="2"/>
      <c r="K916" s="2"/>
      <c r="L916" s="2"/>
      <c r="M916" s="2"/>
      <c r="N916" s="2"/>
      <c r="O916" s="2"/>
      <c r="P916" s="2"/>
      <c r="Q916" s="2"/>
      <c r="R916" s="2"/>
      <c r="S916" s="2"/>
    </row>
    <row r="917" spans="9:19" ht="14.25" customHeight="1">
      <c r="I917" s="2"/>
      <c r="J917" s="2"/>
      <c r="K917" s="2"/>
      <c r="L917" s="2"/>
      <c r="M917" s="2"/>
      <c r="N917" s="2"/>
      <c r="O917" s="2"/>
      <c r="P917" s="2"/>
      <c r="Q917" s="2"/>
      <c r="R917" s="2"/>
      <c r="S917" s="2"/>
    </row>
    <row r="918" spans="9:19" ht="14.25" customHeight="1">
      <c r="I918" s="2"/>
      <c r="J918" s="2"/>
      <c r="K918" s="2"/>
      <c r="L918" s="2"/>
      <c r="M918" s="2"/>
      <c r="N918" s="2"/>
      <c r="O918" s="2"/>
      <c r="P918" s="2"/>
      <c r="Q918" s="2"/>
      <c r="R918" s="2"/>
      <c r="S918" s="2"/>
    </row>
    <row r="919" spans="9:19" ht="14.25" customHeight="1">
      <c r="I919" s="2"/>
      <c r="J919" s="2"/>
      <c r="K919" s="2"/>
      <c r="L919" s="2"/>
      <c r="M919" s="2"/>
      <c r="N919" s="2"/>
      <c r="O919" s="2"/>
      <c r="P919" s="2"/>
      <c r="Q919" s="2"/>
      <c r="R919" s="2"/>
      <c r="S919" s="2"/>
    </row>
    <row r="920" spans="9:19" ht="14.25" customHeight="1">
      <c r="I920" s="2"/>
      <c r="J920" s="2"/>
      <c r="K920" s="2"/>
      <c r="L920" s="2"/>
      <c r="M920" s="2"/>
      <c r="N920" s="2"/>
      <c r="O920" s="2"/>
      <c r="P920" s="2"/>
      <c r="Q920" s="2"/>
      <c r="R920" s="2"/>
      <c r="S920" s="2"/>
    </row>
    <row r="921" spans="9:19" ht="14.25" customHeight="1">
      <c r="I921" s="2"/>
      <c r="J921" s="2"/>
      <c r="K921" s="2"/>
      <c r="L921" s="2"/>
      <c r="M921" s="2"/>
      <c r="N921" s="2"/>
      <c r="O921" s="2"/>
      <c r="P921" s="2"/>
      <c r="Q921" s="2"/>
      <c r="R921" s="2"/>
      <c r="S921" s="2"/>
    </row>
    <row r="922" spans="9:19" ht="14.25" customHeight="1">
      <c r="I922" s="2"/>
      <c r="J922" s="2"/>
      <c r="K922" s="2"/>
      <c r="L922" s="2"/>
      <c r="M922" s="2"/>
      <c r="N922" s="2"/>
      <c r="O922" s="2"/>
      <c r="P922" s="2"/>
      <c r="Q922" s="2"/>
      <c r="R922" s="2"/>
      <c r="S922" s="2"/>
    </row>
    <row r="923" spans="9:19" ht="14.25" customHeight="1">
      <c r="I923" s="2"/>
      <c r="J923" s="2"/>
      <c r="K923" s="2"/>
      <c r="L923" s="2"/>
      <c r="M923" s="2"/>
      <c r="N923" s="2"/>
      <c r="O923" s="2"/>
      <c r="P923" s="2"/>
      <c r="Q923" s="2"/>
      <c r="R923" s="2"/>
      <c r="S923" s="2"/>
    </row>
    <row r="924" spans="9:19" ht="14.25" customHeight="1">
      <c r="I924" s="2"/>
      <c r="J924" s="2"/>
      <c r="K924" s="2"/>
      <c r="L924" s="2"/>
      <c r="M924" s="2"/>
      <c r="N924" s="2"/>
      <c r="O924" s="2"/>
      <c r="P924" s="2"/>
      <c r="Q924" s="2"/>
      <c r="R924" s="2"/>
      <c r="S924" s="2"/>
    </row>
    <row r="925" spans="9:19" ht="14.25" customHeight="1">
      <c r="I925" s="2"/>
      <c r="J925" s="2"/>
      <c r="K925" s="2"/>
      <c r="L925" s="2"/>
      <c r="M925" s="2"/>
      <c r="N925" s="2"/>
      <c r="O925" s="2"/>
      <c r="P925" s="2"/>
      <c r="Q925" s="2"/>
      <c r="R925" s="2"/>
      <c r="S925" s="2"/>
    </row>
    <row r="926" spans="9:19" ht="14.25" customHeight="1">
      <c r="I926" s="2"/>
      <c r="J926" s="2"/>
      <c r="K926" s="2"/>
      <c r="L926" s="2"/>
      <c r="M926" s="2"/>
      <c r="N926" s="2"/>
      <c r="O926" s="2"/>
      <c r="P926" s="2"/>
      <c r="Q926" s="2"/>
      <c r="R926" s="2"/>
      <c r="S926" s="2"/>
    </row>
    <row r="927" spans="9:19" ht="14.25" customHeight="1">
      <c r="I927" s="2"/>
      <c r="J927" s="2"/>
      <c r="K927" s="2"/>
      <c r="L927" s="2"/>
      <c r="M927" s="2"/>
      <c r="N927" s="2"/>
      <c r="O927" s="2"/>
      <c r="P927" s="2"/>
      <c r="Q927" s="2"/>
      <c r="R927" s="2"/>
      <c r="S927" s="2"/>
    </row>
    <row r="928" spans="9:19" ht="14.25" customHeight="1">
      <c r="I928" s="2"/>
      <c r="J928" s="2"/>
      <c r="K928" s="2"/>
      <c r="L928" s="2"/>
      <c r="M928" s="2"/>
      <c r="N928" s="2"/>
      <c r="O928" s="2"/>
      <c r="P928" s="2"/>
      <c r="Q928" s="2"/>
      <c r="R928" s="2"/>
      <c r="S928" s="2"/>
    </row>
    <row r="929" spans="9:19" ht="14.25" customHeight="1">
      <c r="I929" s="2"/>
      <c r="J929" s="2"/>
      <c r="K929" s="2"/>
      <c r="L929" s="2"/>
      <c r="M929" s="2"/>
      <c r="N929" s="2"/>
      <c r="O929" s="2"/>
      <c r="P929" s="2"/>
      <c r="Q929" s="2"/>
      <c r="R929" s="2"/>
      <c r="S929" s="2"/>
    </row>
    <row r="930" spans="9:19" ht="14.25" customHeight="1">
      <c r="I930" s="2"/>
      <c r="J930" s="2"/>
      <c r="K930" s="2"/>
      <c r="L930" s="2"/>
      <c r="M930" s="2"/>
      <c r="N930" s="2"/>
      <c r="O930" s="2"/>
      <c r="P930" s="2"/>
      <c r="Q930" s="2"/>
      <c r="R930" s="2"/>
      <c r="S930" s="2"/>
    </row>
    <row r="931" spans="9:19" ht="14.25" customHeight="1">
      <c r="I931" s="2"/>
      <c r="J931" s="2"/>
      <c r="K931" s="2"/>
      <c r="L931" s="2"/>
      <c r="M931" s="2"/>
      <c r="N931" s="2"/>
      <c r="O931" s="2"/>
      <c r="P931" s="2"/>
      <c r="Q931" s="2"/>
      <c r="R931" s="2"/>
      <c r="S931" s="2"/>
    </row>
    <row r="932" spans="9:19" ht="14.25" customHeight="1">
      <c r="I932" s="2"/>
      <c r="J932" s="2"/>
      <c r="K932" s="2"/>
      <c r="L932" s="2"/>
      <c r="M932" s="2"/>
      <c r="N932" s="2"/>
      <c r="O932" s="2"/>
      <c r="P932" s="2"/>
      <c r="Q932" s="2"/>
      <c r="R932" s="2"/>
      <c r="S932" s="2"/>
    </row>
    <row r="933" spans="9:19" ht="14.25" customHeight="1">
      <c r="I933" s="2"/>
      <c r="J933" s="2"/>
      <c r="K933" s="2"/>
      <c r="L933" s="2"/>
      <c r="M933" s="2"/>
      <c r="N933" s="2"/>
      <c r="O933" s="2"/>
      <c r="P933" s="2"/>
      <c r="Q933" s="2"/>
      <c r="R933" s="2"/>
      <c r="S933" s="2"/>
    </row>
    <row r="934" spans="9:19" ht="14.25" customHeight="1">
      <c r="I934" s="2"/>
      <c r="J934" s="2"/>
      <c r="K934" s="2"/>
      <c r="L934" s="2"/>
      <c r="M934" s="2"/>
      <c r="N934" s="2"/>
      <c r="O934" s="2"/>
      <c r="P934" s="2"/>
      <c r="Q934" s="2"/>
      <c r="R934" s="2"/>
      <c r="S934" s="2"/>
    </row>
    <row r="935" spans="9:19" ht="14.25" customHeight="1">
      <c r="I935" s="2"/>
      <c r="J935" s="2"/>
      <c r="K935" s="2"/>
      <c r="L935" s="2"/>
      <c r="M935" s="2"/>
      <c r="N935" s="2"/>
      <c r="O935" s="2"/>
      <c r="P935" s="2"/>
      <c r="Q935" s="2"/>
      <c r="R935" s="2"/>
      <c r="S935" s="2"/>
    </row>
    <row r="936" spans="9:19" ht="14.25" customHeight="1">
      <c r="I936" s="2"/>
      <c r="J936" s="2"/>
      <c r="K936" s="2"/>
      <c r="L936" s="2"/>
      <c r="M936" s="2"/>
      <c r="N936" s="2"/>
      <c r="O936" s="2"/>
      <c r="P936" s="2"/>
      <c r="Q936" s="2"/>
      <c r="R936" s="2"/>
      <c r="S936" s="2"/>
    </row>
    <row r="937" spans="9:19" ht="14.25" customHeight="1">
      <c r="I937" s="2"/>
      <c r="J937" s="2"/>
      <c r="K937" s="2"/>
      <c r="L937" s="2"/>
      <c r="M937" s="2"/>
      <c r="N937" s="2"/>
      <c r="O937" s="2"/>
      <c r="P937" s="2"/>
      <c r="Q937" s="2"/>
      <c r="R937" s="2"/>
      <c r="S937" s="2"/>
    </row>
    <row r="938" spans="9:19" ht="14.25" customHeight="1">
      <c r="I938" s="2"/>
      <c r="J938" s="2"/>
      <c r="K938" s="2"/>
      <c r="L938" s="2"/>
      <c r="M938" s="2"/>
      <c r="N938" s="2"/>
      <c r="O938" s="2"/>
      <c r="P938" s="2"/>
      <c r="Q938" s="2"/>
      <c r="R938" s="2"/>
      <c r="S938" s="2"/>
    </row>
    <row r="939" spans="9:19" ht="14.25" customHeight="1">
      <c r="I939" s="2"/>
      <c r="J939" s="2"/>
      <c r="K939" s="2"/>
      <c r="L939" s="2"/>
      <c r="M939" s="2"/>
      <c r="N939" s="2"/>
      <c r="O939" s="2"/>
      <c r="P939" s="2"/>
      <c r="Q939" s="2"/>
      <c r="R939" s="2"/>
      <c r="S939" s="2"/>
    </row>
    <row r="940" spans="9:19" ht="14.25" customHeight="1">
      <c r="I940" s="2"/>
      <c r="J940" s="2"/>
      <c r="K940" s="2"/>
      <c r="L940" s="2"/>
      <c r="M940" s="2"/>
      <c r="N940" s="2"/>
      <c r="O940" s="2"/>
      <c r="P940" s="2"/>
      <c r="Q940" s="2"/>
      <c r="R940" s="2"/>
      <c r="S940" s="2"/>
    </row>
    <row r="941" spans="9:19" ht="14.25" customHeight="1">
      <c r="I941" s="2"/>
      <c r="J941" s="2"/>
      <c r="K941" s="2"/>
      <c r="L941" s="2"/>
      <c r="M941" s="2"/>
      <c r="N941" s="2"/>
      <c r="O941" s="2"/>
      <c r="P941" s="2"/>
      <c r="Q941" s="2"/>
      <c r="R941" s="2"/>
      <c r="S941" s="2"/>
    </row>
    <row r="942" spans="9:19" ht="14.25" customHeight="1">
      <c r="I942" s="2"/>
      <c r="J942" s="2"/>
      <c r="K942" s="2"/>
      <c r="L942" s="2"/>
      <c r="M942" s="2"/>
      <c r="N942" s="2"/>
      <c r="O942" s="2"/>
      <c r="P942" s="2"/>
      <c r="Q942" s="2"/>
      <c r="R942" s="2"/>
      <c r="S942" s="2"/>
    </row>
    <row r="943" spans="9:19" ht="14.25" customHeight="1">
      <c r="I943" s="2"/>
      <c r="J943" s="2"/>
      <c r="K943" s="2"/>
      <c r="L943" s="2"/>
      <c r="M943" s="2"/>
      <c r="N943" s="2"/>
      <c r="O943" s="2"/>
      <c r="P943" s="2"/>
      <c r="Q943" s="2"/>
      <c r="R943" s="2"/>
      <c r="S943" s="2"/>
    </row>
    <row r="944" spans="9:19" ht="14.25" customHeight="1">
      <c r="I944" s="2"/>
      <c r="J944" s="2"/>
      <c r="K944" s="2"/>
      <c r="L944" s="2"/>
      <c r="M944" s="2"/>
      <c r="N944" s="2"/>
      <c r="O944" s="2"/>
      <c r="P944" s="2"/>
      <c r="Q944" s="2"/>
      <c r="R944" s="2"/>
      <c r="S944" s="2"/>
    </row>
    <row r="945" spans="9:19" ht="14.25" customHeight="1">
      <c r="I945" s="2"/>
      <c r="J945" s="2"/>
      <c r="K945" s="2"/>
      <c r="L945" s="2"/>
      <c r="M945" s="2"/>
      <c r="N945" s="2"/>
      <c r="O945" s="2"/>
      <c r="P945" s="2"/>
      <c r="Q945" s="2"/>
      <c r="R945" s="2"/>
      <c r="S945" s="2"/>
    </row>
    <row r="946" spans="9:19" ht="14.25" customHeight="1">
      <c r="I946" s="2"/>
      <c r="J946" s="2"/>
      <c r="K946" s="2"/>
      <c r="L946" s="2"/>
      <c r="M946" s="2"/>
      <c r="N946" s="2"/>
      <c r="O946" s="2"/>
      <c r="P946" s="2"/>
      <c r="Q946" s="2"/>
      <c r="R946" s="2"/>
      <c r="S946" s="2"/>
    </row>
    <row r="947" spans="9:19" ht="14.25" customHeight="1">
      <c r="I947" s="2"/>
      <c r="J947" s="2"/>
      <c r="K947" s="2"/>
      <c r="L947" s="2"/>
      <c r="M947" s="2"/>
      <c r="N947" s="2"/>
      <c r="O947" s="2"/>
      <c r="P947" s="2"/>
      <c r="Q947" s="2"/>
      <c r="R947" s="2"/>
      <c r="S947" s="2"/>
    </row>
    <row r="948" spans="9:19" ht="14.25" customHeight="1">
      <c r="I948" s="2"/>
      <c r="J948" s="2"/>
      <c r="K948" s="2"/>
      <c r="L948" s="2"/>
      <c r="M948" s="2"/>
      <c r="N948" s="2"/>
      <c r="O948" s="2"/>
      <c r="P948" s="2"/>
      <c r="Q948" s="2"/>
      <c r="R948" s="2"/>
      <c r="S948" s="2"/>
    </row>
    <row r="949" spans="9:19" ht="14.25" customHeight="1">
      <c r="I949" s="2"/>
      <c r="J949" s="2"/>
      <c r="K949" s="2"/>
      <c r="L949" s="2"/>
      <c r="M949" s="2"/>
      <c r="N949" s="2"/>
      <c r="O949" s="2"/>
      <c r="P949" s="2"/>
      <c r="Q949" s="2"/>
      <c r="R949" s="2"/>
      <c r="S949" s="2"/>
    </row>
    <row r="950" spans="9:19" ht="14.25" customHeight="1">
      <c r="I950" s="2"/>
      <c r="J950" s="2"/>
      <c r="K950" s="2"/>
      <c r="L950" s="2"/>
      <c r="M950" s="2"/>
      <c r="N950" s="2"/>
      <c r="O950" s="2"/>
      <c r="P950" s="2"/>
      <c r="Q950" s="2"/>
      <c r="R950" s="2"/>
      <c r="S950" s="2"/>
    </row>
    <row r="951" spans="9:19" ht="14.25" customHeight="1">
      <c r="I951" s="2"/>
      <c r="J951" s="2"/>
      <c r="K951" s="2"/>
      <c r="L951" s="2"/>
      <c r="M951" s="2"/>
      <c r="N951" s="2"/>
      <c r="O951" s="2"/>
      <c r="P951" s="2"/>
      <c r="Q951" s="2"/>
      <c r="R951" s="2"/>
      <c r="S951" s="2"/>
    </row>
    <row r="952" spans="9:19" ht="14.25" customHeight="1">
      <c r="I952" s="2"/>
      <c r="J952" s="2"/>
      <c r="K952" s="2"/>
      <c r="L952" s="2"/>
      <c r="M952" s="2"/>
      <c r="N952" s="2"/>
      <c r="O952" s="2"/>
      <c r="P952" s="2"/>
      <c r="Q952" s="2"/>
      <c r="R952" s="2"/>
      <c r="S952" s="2"/>
    </row>
    <row r="953" spans="9:19" ht="14.25" customHeight="1">
      <c r="I953" s="2"/>
      <c r="J953" s="2"/>
      <c r="K953" s="2"/>
      <c r="L953" s="2"/>
      <c r="M953" s="2"/>
      <c r="N953" s="2"/>
      <c r="O953" s="2"/>
      <c r="P953" s="2"/>
      <c r="Q953" s="2"/>
      <c r="R953" s="2"/>
      <c r="S953" s="2"/>
    </row>
    <row r="954" spans="9:19" ht="14.25" customHeight="1">
      <c r="I954" s="2"/>
      <c r="J954" s="2"/>
      <c r="K954" s="2"/>
      <c r="L954" s="2"/>
      <c r="M954" s="2"/>
      <c r="N954" s="2"/>
      <c r="O954" s="2"/>
      <c r="P954" s="2"/>
      <c r="Q954" s="2"/>
      <c r="R954" s="2"/>
      <c r="S954" s="2"/>
    </row>
    <row r="955" spans="9:19" ht="14.25" customHeight="1">
      <c r="I955" s="2"/>
      <c r="J955" s="2"/>
      <c r="K955" s="2"/>
      <c r="L955" s="2"/>
      <c r="M955" s="2"/>
      <c r="N955" s="2"/>
      <c r="O955" s="2"/>
      <c r="P955" s="2"/>
      <c r="Q955" s="2"/>
      <c r="R955" s="2"/>
      <c r="S955" s="2"/>
    </row>
    <row r="956" spans="9:19" ht="14.25" customHeight="1">
      <c r="I956" s="2"/>
      <c r="J956" s="2"/>
      <c r="K956" s="2"/>
      <c r="L956" s="2"/>
      <c r="M956" s="2"/>
      <c r="N956" s="2"/>
      <c r="O956" s="2"/>
      <c r="P956" s="2"/>
      <c r="Q956" s="2"/>
      <c r="R956" s="2"/>
      <c r="S956" s="2"/>
    </row>
    <row r="957" spans="9:19" ht="14.25" customHeight="1">
      <c r="I957" s="2"/>
      <c r="J957" s="2"/>
      <c r="K957" s="2"/>
      <c r="L957" s="2"/>
      <c r="M957" s="2"/>
      <c r="N957" s="2"/>
      <c r="O957" s="2"/>
      <c r="P957" s="2"/>
      <c r="Q957" s="2"/>
      <c r="R957" s="2"/>
      <c r="S957" s="2"/>
    </row>
    <row r="958" spans="9:19" ht="14.25" customHeight="1">
      <c r="I958" s="2"/>
      <c r="J958" s="2"/>
      <c r="K958" s="2"/>
      <c r="L958" s="2"/>
      <c r="M958" s="2"/>
      <c r="N958" s="2"/>
      <c r="O958" s="2"/>
      <c r="P958" s="2"/>
      <c r="Q958" s="2"/>
      <c r="R958" s="2"/>
      <c r="S958" s="2"/>
    </row>
    <row r="959" spans="9:19" ht="14.25" customHeight="1">
      <c r="I959" s="2"/>
      <c r="J959" s="2"/>
      <c r="K959" s="2"/>
      <c r="L959" s="2"/>
      <c r="M959" s="2"/>
      <c r="N959" s="2"/>
      <c r="O959" s="2"/>
      <c r="P959" s="2"/>
      <c r="Q959" s="2"/>
      <c r="R959" s="2"/>
      <c r="S959" s="2"/>
    </row>
    <row r="960" spans="9:19" ht="14.25" customHeight="1">
      <c r="I960" s="2"/>
      <c r="J960" s="2"/>
      <c r="K960" s="2"/>
      <c r="L960" s="2"/>
      <c r="M960" s="2"/>
      <c r="N960" s="2"/>
      <c r="O960" s="2"/>
      <c r="P960" s="2"/>
      <c r="Q960" s="2"/>
      <c r="R960" s="2"/>
      <c r="S960" s="2"/>
    </row>
    <row r="961" spans="9:19" ht="14.25" customHeight="1">
      <c r="I961" s="2"/>
      <c r="J961" s="2"/>
      <c r="K961" s="2"/>
      <c r="L961" s="2"/>
      <c r="M961" s="2"/>
      <c r="N961" s="2"/>
      <c r="O961" s="2"/>
      <c r="P961" s="2"/>
      <c r="Q961" s="2"/>
      <c r="R961" s="2"/>
      <c r="S961" s="2"/>
    </row>
    <row r="962" spans="9:19" ht="14.25" customHeight="1">
      <c r="I962" s="2"/>
      <c r="J962" s="2"/>
      <c r="K962" s="2"/>
      <c r="L962" s="2"/>
      <c r="M962" s="2"/>
      <c r="N962" s="2"/>
      <c r="O962" s="2"/>
      <c r="P962" s="2"/>
      <c r="Q962" s="2"/>
      <c r="R962" s="2"/>
      <c r="S962" s="2"/>
    </row>
    <row r="963" spans="9:19" ht="14.25" customHeight="1">
      <c r="I963" s="2"/>
      <c r="J963" s="2"/>
      <c r="K963" s="2"/>
      <c r="L963" s="2"/>
      <c r="M963" s="2"/>
      <c r="N963" s="2"/>
      <c r="O963" s="2"/>
      <c r="P963" s="2"/>
      <c r="Q963" s="2"/>
      <c r="R963" s="2"/>
      <c r="S963" s="2"/>
    </row>
    <row r="964" spans="9:19" ht="14.25" customHeight="1">
      <c r="I964" s="2"/>
      <c r="J964" s="2"/>
      <c r="K964" s="2"/>
      <c r="L964" s="2"/>
      <c r="M964" s="2"/>
      <c r="N964" s="2"/>
      <c r="O964" s="2"/>
      <c r="P964" s="2"/>
      <c r="Q964" s="2"/>
      <c r="R964" s="2"/>
      <c r="S964" s="2"/>
    </row>
    <row r="965" spans="9:19" ht="14.25" customHeight="1">
      <c r="I965" s="2"/>
      <c r="J965" s="2"/>
      <c r="K965" s="2"/>
      <c r="L965" s="2"/>
      <c r="M965" s="2"/>
      <c r="N965" s="2"/>
      <c r="O965" s="2"/>
      <c r="P965" s="2"/>
      <c r="Q965" s="2"/>
      <c r="R965" s="2"/>
      <c r="S965" s="2"/>
    </row>
    <row r="966" spans="9:19" ht="14.25" customHeight="1">
      <c r="I966" s="2"/>
      <c r="J966" s="2"/>
      <c r="K966" s="2"/>
      <c r="L966" s="2"/>
      <c r="M966" s="2"/>
      <c r="N966" s="2"/>
      <c r="O966" s="2"/>
      <c r="P966" s="2"/>
      <c r="Q966" s="2"/>
      <c r="R966" s="2"/>
      <c r="S966" s="2"/>
    </row>
    <row r="967" spans="9:19" ht="14.25" customHeight="1">
      <c r="I967" s="2"/>
      <c r="J967" s="2"/>
      <c r="K967" s="2"/>
      <c r="L967" s="2"/>
      <c r="M967" s="2"/>
      <c r="N967" s="2"/>
      <c r="O967" s="2"/>
      <c r="P967" s="2"/>
      <c r="Q967" s="2"/>
      <c r="R967" s="2"/>
      <c r="S967" s="2"/>
    </row>
    <row r="968" spans="9:19" ht="14.25" customHeight="1">
      <c r="I968" s="2"/>
      <c r="J968" s="2"/>
      <c r="K968" s="2"/>
      <c r="L968" s="2"/>
      <c r="M968" s="2"/>
      <c r="N968" s="2"/>
      <c r="O968" s="2"/>
      <c r="P968" s="2"/>
      <c r="Q968" s="2"/>
      <c r="R968" s="2"/>
      <c r="S968" s="2"/>
    </row>
    <row r="969" spans="9:19" ht="14.25" customHeight="1">
      <c r="I969" s="2"/>
      <c r="J969" s="2"/>
      <c r="K969" s="2"/>
      <c r="L969" s="2"/>
      <c r="M969" s="2"/>
      <c r="N969" s="2"/>
      <c r="O969" s="2"/>
      <c r="P969" s="2"/>
      <c r="Q969" s="2"/>
      <c r="R969" s="2"/>
      <c r="S969" s="2"/>
    </row>
    <row r="970" spans="9:19" ht="14.25" customHeight="1">
      <c r="I970" s="2"/>
      <c r="J970" s="2"/>
      <c r="K970" s="2"/>
      <c r="L970" s="2"/>
      <c r="M970" s="2"/>
      <c r="N970" s="2"/>
      <c r="O970" s="2"/>
      <c r="P970" s="2"/>
      <c r="Q970" s="2"/>
      <c r="R970" s="2"/>
      <c r="S970" s="2"/>
    </row>
    <row r="971" spans="9:19" ht="14.25" customHeight="1">
      <c r="I971" s="2"/>
      <c r="J971" s="2"/>
      <c r="K971" s="2"/>
      <c r="L971" s="2"/>
      <c r="M971" s="2"/>
      <c r="N971" s="2"/>
      <c r="O971" s="2"/>
      <c r="P971" s="2"/>
      <c r="Q971" s="2"/>
      <c r="R971" s="2"/>
      <c r="S971" s="2"/>
    </row>
    <row r="972" spans="9:19" ht="14.25" customHeight="1">
      <c r="I972" s="2"/>
      <c r="J972" s="2"/>
      <c r="K972" s="2"/>
      <c r="L972" s="2"/>
      <c r="M972" s="2"/>
      <c r="N972" s="2"/>
      <c r="O972" s="2"/>
      <c r="P972" s="2"/>
      <c r="Q972" s="2"/>
      <c r="R972" s="2"/>
      <c r="S972" s="2"/>
    </row>
    <row r="973" spans="9:19" ht="14.25" customHeight="1">
      <c r="I973" s="2"/>
      <c r="J973" s="2"/>
      <c r="K973" s="2"/>
      <c r="L973" s="2"/>
      <c r="M973" s="2"/>
      <c r="N973" s="2"/>
      <c r="O973" s="2"/>
      <c r="P973" s="2"/>
      <c r="Q973" s="2"/>
      <c r="R973" s="2"/>
      <c r="S973" s="2"/>
    </row>
    <row r="974" spans="9:19" ht="14.25" customHeight="1">
      <c r="I974" s="2"/>
      <c r="J974" s="2"/>
      <c r="K974" s="2"/>
      <c r="L974" s="2"/>
      <c r="M974" s="2"/>
      <c r="N974" s="2"/>
      <c r="O974" s="2"/>
      <c r="P974" s="2"/>
      <c r="Q974" s="2"/>
      <c r="R974" s="2"/>
      <c r="S974" s="2"/>
    </row>
    <row r="975" spans="9:19" ht="14.25" customHeight="1">
      <c r="I975" s="2"/>
      <c r="J975" s="2"/>
      <c r="K975" s="2"/>
      <c r="L975" s="2"/>
      <c r="M975" s="2"/>
      <c r="N975" s="2"/>
      <c r="O975" s="2"/>
      <c r="P975" s="2"/>
      <c r="Q975" s="2"/>
      <c r="R975" s="2"/>
      <c r="S975" s="2"/>
    </row>
    <row r="976" spans="9:19" ht="14.25" customHeight="1">
      <c r="I976" s="2"/>
      <c r="J976" s="2"/>
      <c r="K976" s="2"/>
      <c r="L976" s="2"/>
      <c r="M976" s="2"/>
      <c r="N976" s="2"/>
      <c r="O976" s="2"/>
      <c r="P976" s="2"/>
      <c r="Q976" s="2"/>
      <c r="R976" s="2"/>
      <c r="S976" s="2"/>
    </row>
    <row r="977" spans="9:19" ht="14.25" customHeight="1">
      <c r="I977" s="2"/>
      <c r="J977" s="2"/>
      <c r="K977" s="2"/>
      <c r="L977" s="2"/>
      <c r="M977" s="2"/>
      <c r="N977" s="2"/>
      <c r="O977" s="2"/>
      <c r="P977" s="2"/>
      <c r="Q977" s="2"/>
      <c r="R977" s="2"/>
      <c r="S977" s="2"/>
    </row>
    <row r="978" spans="9:19" ht="14.25" customHeight="1">
      <c r="I978" s="2"/>
      <c r="J978" s="2"/>
      <c r="K978" s="2"/>
      <c r="L978" s="2"/>
      <c r="M978" s="2"/>
      <c r="N978" s="2"/>
      <c r="O978" s="2"/>
      <c r="P978" s="2"/>
      <c r="Q978" s="2"/>
      <c r="R978" s="2"/>
      <c r="S978" s="2"/>
    </row>
    <row r="979" spans="9:19" ht="14.25" customHeight="1">
      <c r="I979" s="2"/>
      <c r="J979" s="2"/>
      <c r="K979" s="2"/>
      <c r="L979" s="2"/>
      <c r="M979" s="2"/>
      <c r="N979" s="2"/>
      <c r="O979" s="2"/>
      <c r="P979" s="2"/>
      <c r="Q979" s="2"/>
      <c r="R979" s="2"/>
      <c r="S979" s="2"/>
    </row>
  </sheetData>
  <mergeCells count="26">
    <mergeCell ref="F10:F17"/>
    <mergeCell ref="G10:G17"/>
    <mergeCell ref="I28:I33"/>
    <mergeCell ref="J28:J33"/>
    <mergeCell ref="R28:R33"/>
    <mergeCell ref="S28:S33"/>
    <mergeCell ref="T28:T33"/>
    <mergeCell ref="K28:K33"/>
    <mergeCell ref="L28:L33"/>
    <mergeCell ref="M28:M33"/>
    <mergeCell ref="N28:N33"/>
    <mergeCell ref="O28:O33"/>
    <mergeCell ref="P28:P33"/>
    <mergeCell ref="Q28:Q33"/>
    <mergeCell ref="P37:P39"/>
    <mergeCell ref="Q37:Q39"/>
    <mergeCell ref="R37:R39"/>
    <mergeCell ref="S37:S39"/>
    <mergeCell ref="T37:T39"/>
    <mergeCell ref="N37:N39"/>
    <mergeCell ref="O37:O39"/>
    <mergeCell ref="I37:I39"/>
    <mergeCell ref="J37:J39"/>
    <mergeCell ref="K37:K39"/>
    <mergeCell ref="L37:L39"/>
    <mergeCell ref="M37:M39"/>
  </mergeCells>
  <dataValidations count="2">
    <dataValidation type="list" allowBlank="1" showErrorMessage="1" sqref="U29:AG33 I34:AG37 U38:AG40 I10:AG28" xr:uid="{00000000-0002-0000-0000-000000000000}">
      <formula1>"R - Responsible,S - Support,C - Consult,A - Accountable"</formula1>
    </dataValidation>
    <dataValidation type="list" allowBlank="1" showErrorMessage="1" sqref="I41:AG64" xr:uid="{00000000-0002-0000-0000-000001000000}">
      <formula1>"D - Do,S - Support,R - Review,A - Accountable"</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99DE-DFCA-E142-B20A-0DA78A77A217}">
  <dimension ref="A1:BD84"/>
  <sheetViews>
    <sheetView workbookViewId="0">
      <selection activeCell="B5" sqref="B5"/>
    </sheetView>
  </sheetViews>
  <sheetFormatPr baseColWidth="10" defaultColWidth="16.83203125" defaultRowHeight="16"/>
  <cols>
    <col min="1" max="1" width="21.5" style="279" customWidth="1"/>
    <col min="2" max="2" width="67.83203125" customWidth="1"/>
    <col min="3" max="3" width="18.5" customWidth="1"/>
    <col min="4" max="4" width="18.5" style="46" customWidth="1"/>
    <col min="5" max="5" width="18.33203125" customWidth="1"/>
    <col min="6" max="6" width="18" customWidth="1"/>
    <col min="7" max="7" width="22" customWidth="1"/>
    <col min="8" max="19" width="8.83203125" customWidth="1"/>
    <col min="20" max="20" width="8.33203125" style="236" customWidth="1"/>
    <col min="21" max="22" width="8.33203125" customWidth="1"/>
    <col min="23" max="23" width="8.33203125" style="235" customWidth="1"/>
    <col min="24" max="24" width="8.33203125" style="236" customWidth="1"/>
    <col min="25" max="26" width="8.33203125" customWidth="1"/>
    <col min="27" max="27" width="8.33203125" style="235" customWidth="1"/>
    <col min="28" max="28" width="8.33203125" style="236" customWidth="1"/>
    <col min="29" max="30" width="8.33203125" customWidth="1"/>
    <col min="31" max="31" width="8.33203125" style="235" customWidth="1"/>
    <col min="32" max="32" width="8.33203125" style="236" customWidth="1"/>
    <col min="33" max="34" width="8.33203125" customWidth="1"/>
    <col min="35" max="35" width="8.33203125" style="235" customWidth="1"/>
    <col min="36" max="38" width="8.33203125" customWidth="1"/>
    <col min="39" max="39" width="8.33203125" style="235" customWidth="1"/>
    <col min="40" max="42" width="8.33203125" customWidth="1"/>
    <col min="43" max="43" width="8.33203125" style="235" customWidth="1"/>
    <col min="44" max="46" width="8.33203125" customWidth="1"/>
    <col min="47" max="47" width="8.33203125" style="235" customWidth="1"/>
    <col min="48" max="50" width="8.33203125" customWidth="1"/>
    <col min="51" max="51" width="8.33203125" style="235" customWidth="1"/>
    <col min="52" max="54" width="8.33203125" customWidth="1"/>
    <col min="55" max="55" width="8.33203125" style="235" customWidth="1"/>
  </cols>
  <sheetData>
    <row r="1" spans="1:56" s="280" customFormat="1" ht="44" customHeight="1">
      <c r="A1" s="380" t="s">
        <v>140</v>
      </c>
      <c r="B1" s="381"/>
      <c r="C1" s="380"/>
      <c r="D1" s="382"/>
      <c r="E1" s="383"/>
      <c r="F1" s="383"/>
      <c r="G1" s="383"/>
      <c r="H1" s="384"/>
      <c r="I1" s="384"/>
      <c r="J1" s="384"/>
      <c r="K1" s="384"/>
      <c r="L1" s="384"/>
      <c r="M1" s="384"/>
      <c r="N1" s="385"/>
      <c r="O1" s="384"/>
      <c r="P1" s="384"/>
      <c r="Q1" s="384"/>
      <c r="R1" s="384"/>
      <c r="S1" s="386"/>
      <c r="T1" s="387"/>
      <c r="U1" s="386"/>
      <c r="W1" s="281"/>
      <c r="X1" s="282"/>
      <c r="AA1" s="281"/>
      <c r="AB1" s="282"/>
      <c r="AE1" s="281"/>
      <c r="AF1" s="282"/>
      <c r="AI1" s="281"/>
      <c r="AM1" s="281"/>
      <c r="AQ1" s="281"/>
      <c r="AU1" s="281"/>
      <c r="AY1" s="281"/>
      <c r="BC1" s="281"/>
    </row>
    <row r="2" spans="1:56" s="197" customFormat="1" ht="19" customHeight="1">
      <c r="A2" s="197" t="s">
        <v>141</v>
      </c>
      <c r="B2" s="197" t="s">
        <v>142</v>
      </c>
      <c r="D2" s="198"/>
      <c r="S2" s="199"/>
      <c r="T2" s="200"/>
      <c r="W2" s="201"/>
      <c r="X2" s="200"/>
      <c r="AA2" s="201"/>
      <c r="AB2" s="200"/>
      <c r="AE2" s="201"/>
      <c r="AF2" s="200"/>
      <c r="AI2" s="201"/>
      <c r="AM2" s="201"/>
      <c r="AN2" s="202"/>
      <c r="AQ2" s="201"/>
      <c r="AR2" s="202"/>
      <c r="AU2" s="201"/>
      <c r="AV2" s="202"/>
      <c r="AY2" s="201"/>
      <c r="AZ2" s="202"/>
      <c r="BC2" s="201"/>
      <c r="BD2" s="202"/>
    </row>
    <row r="3" spans="1:56" s="196" customFormat="1" ht="41.75" customHeight="1">
      <c r="A3" s="388" t="s">
        <v>143</v>
      </c>
      <c r="B3" s="389" t="s">
        <v>144</v>
      </c>
      <c r="C3" s="390" t="s">
        <v>145</v>
      </c>
      <c r="D3" s="390" t="s">
        <v>146</v>
      </c>
      <c r="E3" s="390" t="s">
        <v>147</v>
      </c>
      <c r="F3" s="390" t="s">
        <v>148</v>
      </c>
      <c r="G3" s="391" t="s">
        <v>149</v>
      </c>
      <c r="H3" s="514" t="s">
        <v>150</v>
      </c>
      <c r="I3" s="515"/>
      <c r="J3" s="515"/>
      <c r="K3" s="515"/>
      <c r="L3" s="516" t="s">
        <v>151</v>
      </c>
      <c r="M3" s="515"/>
      <c r="N3" s="515"/>
      <c r="O3" s="515"/>
      <c r="P3" s="516" t="s">
        <v>152</v>
      </c>
      <c r="Q3" s="515"/>
      <c r="R3" s="515"/>
      <c r="S3" s="515"/>
      <c r="T3" s="517" t="s">
        <v>153</v>
      </c>
      <c r="U3" s="515"/>
      <c r="V3" s="515"/>
      <c r="W3" s="518"/>
      <c r="X3" s="517" t="s">
        <v>154</v>
      </c>
      <c r="Y3" s="515"/>
      <c r="Z3" s="515"/>
      <c r="AA3" s="518"/>
      <c r="AB3" s="517" t="s">
        <v>155</v>
      </c>
      <c r="AC3" s="515"/>
      <c r="AD3" s="515"/>
      <c r="AE3" s="518"/>
      <c r="AF3" s="517" t="s">
        <v>156</v>
      </c>
      <c r="AG3" s="515"/>
      <c r="AH3" s="515"/>
      <c r="AI3" s="518"/>
      <c r="AJ3" s="519" t="s">
        <v>157</v>
      </c>
      <c r="AK3" s="512"/>
      <c r="AL3" s="512"/>
      <c r="AM3" s="513"/>
      <c r="AN3" s="511" t="s">
        <v>158</v>
      </c>
      <c r="AO3" s="512"/>
      <c r="AP3" s="512"/>
      <c r="AQ3" s="513"/>
      <c r="AR3" s="511" t="s">
        <v>159</v>
      </c>
      <c r="AS3" s="512"/>
      <c r="AT3" s="512"/>
      <c r="AU3" s="513"/>
      <c r="AV3" s="511" t="s">
        <v>160</v>
      </c>
      <c r="AW3" s="512"/>
      <c r="AX3" s="512"/>
      <c r="AY3" s="513"/>
      <c r="AZ3" s="511" t="s">
        <v>161</v>
      </c>
      <c r="BA3" s="512"/>
      <c r="BB3" s="512"/>
      <c r="BC3" s="513"/>
    </row>
    <row r="4" spans="1:56" ht="25" customHeight="1">
      <c r="A4" s="203" t="s">
        <v>162</v>
      </c>
      <c r="B4" s="203"/>
      <c r="C4" s="203"/>
      <c r="D4" s="204"/>
      <c r="E4" s="203"/>
      <c r="F4" s="203"/>
      <c r="G4" s="203"/>
      <c r="H4" s="205" t="s">
        <v>163</v>
      </c>
      <c r="I4" s="206" t="s">
        <v>164</v>
      </c>
      <c r="J4" s="206" t="s">
        <v>165</v>
      </c>
      <c r="K4" s="207" t="s">
        <v>166</v>
      </c>
      <c r="L4" s="205" t="s">
        <v>163</v>
      </c>
      <c r="M4" s="206" t="s">
        <v>164</v>
      </c>
      <c r="N4" s="206" t="s">
        <v>165</v>
      </c>
      <c r="O4" s="207" t="s">
        <v>166</v>
      </c>
      <c r="P4" s="205" t="s">
        <v>163</v>
      </c>
      <c r="Q4" s="206" t="s">
        <v>164</v>
      </c>
      <c r="R4" s="206" t="s">
        <v>165</v>
      </c>
      <c r="S4" s="206" t="s">
        <v>166</v>
      </c>
      <c r="T4" s="205" t="s">
        <v>163</v>
      </c>
      <c r="U4" s="206" t="s">
        <v>164</v>
      </c>
      <c r="V4" s="206" t="s">
        <v>165</v>
      </c>
      <c r="W4" s="207" t="s">
        <v>166</v>
      </c>
      <c r="X4" s="205" t="s">
        <v>163</v>
      </c>
      <c r="Y4" s="206" t="s">
        <v>164</v>
      </c>
      <c r="Z4" s="206" t="s">
        <v>165</v>
      </c>
      <c r="AA4" s="207" t="s">
        <v>166</v>
      </c>
      <c r="AB4" s="205" t="s">
        <v>163</v>
      </c>
      <c r="AC4" s="206" t="s">
        <v>164</v>
      </c>
      <c r="AD4" s="206" t="s">
        <v>165</v>
      </c>
      <c r="AE4" s="206" t="s">
        <v>166</v>
      </c>
      <c r="AF4" s="205" t="s">
        <v>163</v>
      </c>
      <c r="AG4" s="206" t="s">
        <v>164</v>
      </c>
      <c r="AH4" s="206" t="s">
        <v>165</v>
      </c>
      <c r="AI4" s="207" t="s">
        <v>166</v>
      </c>
      <c r="AJ4" s="205" t="s">
        <v>163</v>
      </c>
      <c r="AK4" s="206" t="s">
        <v>164</v>
      </c>
      <c r="AL4" s="206" t="s">
        <v>165</v>
      </c>
      <c r="AM4" s="207" t="s">
        <v>166</v>
      </c>
      <c r="AN4" s="205" t="s">
        <v>163</v>
      </c>
      <c r="AO4" s="206" t="s">
        <v>164</v>
      </c>
      <c r="AP4" s="206" t="s">
        <v>165</v>
      </c>
      <c r="AQ4" s="206" t="s">
        <v>166</v>
      </c>
      <c r="AR4" s="205" t="s">
        <v>163</v>
      </c>
      <c r="AS4" s="206" t="s">
        <v>164</v>
      </c>
      <c r="AT4" s="206" t="s">
        <v>165</v>
      </c>
      <c r="AU4" s="207" t="s">
        <v>166</v>
      </c>
      <c r="AV4" s="205" t="s">
        <v>163</v>
      </c>
      <c r="AW4" s="206" t="s">
        <v>164</v>
      </c>
      <c r="AX4" s="206" t="s">
        <v>165</v>
      </c>
      <c r="AY4" s="207" t="s">
        <v>166</v>
      </c>
      <c r="AZ4" s="205" t="s">
        <v>163</v>
      </c>
      <c r="BA4" s="206" t="s">
        <v>164</v>
      </c>
      <c r="BB4" s="206" t="s">
        <v>165</v>
      </c>
      <c r="BC4" s="206" t="s">
        <v>166</v>
      </c>
    </row>
    <row r="5" spans="1:56" s="219" customFormat="1" ht="23" customHeight="1">
      <c r="A5" s="392" t="s">
        <v>167</v>
      </c>
      <c r="B5" s="283" t="s">
        <v>168</v>
      </c>
      <c r="C5" s="209">
        <f>SUM(C6:C26)</f>
        <v>2325.6899999999996</v>
      </c>
      <c r="D5" s="210"/>
      <c r="E5" s="211"/>
      <c r="F5" s="212"/>
      <c r="G5" s="213"/>
      <c r="H5" s="214"/>
      <c r="I5" s="215"/>
      <c r="J5" s="215"/>
      <c r="K5" s="215"/>
      <c r="L5" s="214"/>
      <c r="M5" s="215"/>
      <c r="N5" s="215"/>
      <c r="O5" s="216"/>
      <c r="P5" s="214"/>
      <c r="Q5" s="215"/>
      <c r="R5" s="215"/>
      <c r="S5" s="217"/>
      <c r="T5" s="218"/>
      <c r="U5" s="215"/>
      <c r="W5" s="220"/>
      <c r="X5" s="221"/>
      <c r="AA5" s="220"/>
      <c r="AB5" s="221"/>
      <c r="AE5" s="220"/>
      <c r="AF5" s="221"/>
      <c r="AI5" s="220"/>
      <c r="AM5" s="220"/>
      <c r="AQ5" s="220"/>
      <c r="AU5" s="220"/>
      <c r="AY5" s="220"/>
      <c r="BC5" s="220"/>
    </row>
    <row r="6" spans="1:56" ht="6" hidden="1" customHeight="1">
      <c r="A6" s="393"/>
      <c r="B6" s="222" t="s">
        <v>169</v>
      </c>
      <c r="C6" s="223">
        <v>420</v>
      </c>
      <c r="D6" s="224"/>
      <c r="E6" s="225">
        <v>47609</v>
      </c>
      <c r="F6" s="226">
        <v>47613</v>
      </c>
      <c r="G6" s="227" t="s">
        <v>170</v>
      </c>
      <c r="H6" s="228"/>
      <c r="I6" s="229"/>
      <c r="J6" s="230"/>
      <c r="K6" s="230"/>
      <c r="L6" s="231"/>
      <c r="M6" s="230"/>
      <c r="N6" s="230"/>
      <c r="O6" s="232"/>
      <c r="P6" s="231"/>
      <c r="Q6" s="230"/>
      <c r="R6" s="230"/>
      <c r="S6" s="233"/>
      <c r="T6" s="234"/>
      <c r="U6" s="230"/>
    </row>
    <row r="7" spans="1:56" ht="6" hidden="1" customHeight="1">
      <c r="A7" s="393"/>
      <c r="B7" s="237" t="s">
        <v>171</v>
      </c>
      <c r="C7" s="238">
        <v>16</v>
      </c>
      <c r="D7" s="224"/>
      <c r="E7" s="225">
        <v>47616</v>
      </c>
      <c r="F7" s="226">
        <v>47620</v>
      </c>
      <c r="G7" s="227" t="s">
        <v>172</v>
      </c>
      <c r="H7" s="231"/>
      <c r="I7" s="229"/>
      <c r="J7" s="229"/>
      <c r="K7" s="230"/>
      <c r="L7" s="231"/>
      <c r="M7" s="230"/>
      <c r="N7" s="230"/>
      <c r="O7" s="232"/>
      <c r="P7" s="231"/>
      <c r="Q7" s="230"/>
      <c r="R7" s="230"/>
      <c r="S7" s="233"/>
      <c r="T7" s="234"/>
      <c r="U7" s="230"/>
    </row>
    <row r="8" spans="1:56" ht="6" hidden="1" customHeight="1">
      <c r="A8" s="393"/>
      <c r="B8" s="237" t="s">
        <v>173</v>
      </c>
      <c r="C8" s="238">
        <v>62</v>
      </c>
      <c r="D8" s="239"/>
      <c r="E8" s="225">
        <v>47623</v>
      </c>
      <c r="F8" s="226">
        <v>47627</v>
      </c>
      <c r="G8" s="227" t="s">
        <v>174</v>
      </c>
      <c r="H8" s="231"/>
      <c r="I8" s="230"/>
      <c r="J8" s="229"/>
      <c r="K8" s="230"/>
      <c r="L8" s="231"/>
      <c r="M8" s="230"/>
      <c r="N8" s="230"/>
      <c r="O8" s="232"/>
      <c r="P8" s="231"/>
      <c r="Q8" s="230"/>
      <c r="R8" s="230"/>
      <c r="S8" s="233"/>
      <c r="T8" s="240"/>
      <c r="U8" s="230"/>
    </row>
    <row r="9" spans="1:56" ht="6" hidden="1" customHeight="1">
      <c r="A9" s="393"/>
      <c r="B9" s="237" t="s">
        <v>175</v>
      </c>
      <c r="C9" s="241">
        <v>28.2</v>
      </c>
      <c r="D9" s="224"/>
      <c r="E9" s="242"/>
      <c r="F9" s="243"/>
      <c r="G9" s="244"/>
      <c r="H9" s="231"/>
      <c r="I9" s="230"/>
      <c r="J9" s="230"/>
      <c r="K9" s="229"/>
      <c r="L9" s="231"/>
      <c r="M9" s="230"/>
      <c r="N9" s="230"/>
      <c r="O9" s="232"/>
      <c r="P9" s="231"/>
      <c r="Q9" s="230"/>
      <c r="R9" s="230"/>
      <c r="S9" s="233"/>
      <c r="T9" s="240"/>
      <c r="U9" s="230"/>
    </row>
    <row r="10" spans="1:56" ht="6" hidden="1" customHeight="1">
      <c r="A10" s="393"/>
      <c r="B10" s="237" t="s">
        <v>176</v>
      </c>
      <c r="C10" s="245">
        <v>2.6</v>
      </c>
      <c r="D10" s="224"/>
      <c r="E10" s="242"/>
      <c r="F10" s="243"/>
      <c r="G10" s="244"/>
      <c r="H10" s="231"/>
      <c r="I10" s="230"/>
      <c r="J10" s="230"/>
      <c r="K10" s="246"/>
      <c r="L10" s="247"/>
      <c r="M10" s="229"/>
      <c r="N10" s="229"/>
      <c r="O10" s="232"/>
      <c r="P10" s="231"/>
      <c r="Q10" s="230"/>
      <c r="R10" s="230"/>
      <c r="S10" s="233"/>
      <c r="T10" s="240"/>
      <c r="U10" s="230"/>
    </row>
    <row r="11" spans="1:56" ht="6" hidden="1" customHeight="1">
      <c r="A11" s="393"/>
      <c r="B11" s="237" t="s">
        <v>177</v>
      </c>
      <c r="C11" s="238">
        <v>5</v>
      </c>
      <c r="D11" s="239"/>
      <c r="E11" s="242"/>
      <c r="F11" s="243"/>
      <c r="G11" s="244"/>
      <c r="H11" s="231"/>
      <c r="I11" s="230"/>
      <c r="J11" s="230"/>
      <c r="K11" s="230"/>
      <c r="L11" s="231"/>
      <c r="M11" s="229"/>
      <c r="N11" s="229"/>
      <c r="O11" s="232"/>
      <c r="P11" s="231"/>
      <c r="Q11" s="230"/>
      <c r="R11" s="230"/>
      <c r="S11" s="233"/>
      <c r="T11" s="240"/>
      <c r="U11" s="230"/>
    </row>
    <row r="12" spans="1:56" ht="6" hidden="1" customHeight="1">
      <c r="A12" s="393"/>
      <c r="B12" s="248" t="s">
        <v>178</v>
      </c>
      <c r="C12" s="249">
        <v>220</v>
      </c>
      <c r="D12" s="224"/>
      <c r="E12" s="242"/>
      <c r="F12" s="243"/>
      <c r="G12" s="244"/>
      <c r="H12" s="231"/>
      <c r="I12" s="230"/>
      <c r="J12" s="230"/>
      <c r="K12" s="230"/>
      <c r="L12" s="231"/>
      <c r="M12" s="230"/>
      <c r="N12" s="229"/>
      <c r="O12" s="250"/>
      <c r="P12" s="228"/>
      <c r="Q12" s="230"/>
      <c r="R12" s="230"/>
      <c r="S12" s="233"/>
      <c r="T12" s="240"/>
      <c r="U12" s="230"/>
    </row>
    <row r="13" spans="1:56" ht="6" hidden="1" customHeight="1">
      <c r="A13" s="393"/>
      <c r="B13" s="26" t="s">
        <v>179</v>
      </c>
      <c r="C13" s="251">
        <v>40</v>
      </c>
      <c r="D13" s="224"/>
      <c r="E13" s="242"/>
      <c r="F13" s="243"/>
      <c r="G13" s="244"/>
      <c r="H13" s="231"/>
      <c r="I13" s="230"/>
      <c r="J13" s="230"/>
      <c r="K13" s="230"/>
      <c r="L13" s="231"/>
      <c r="M13" s="230"/>
      <c r="N13" s="230"/>
      <c r="O13" s="232"/>
      <c r="P13" s="228"/>
      <c r="Q13" s="230"/>
      <c r="R13" s="230"/>
      <c r="S13" s="233"/>
      <c r="T13" s="240"/>
      <c r="U13" s="230"/>
    </row>
    <row r="14" spans="1:56" ht="6" hidden="1" customHeight="1">
      <c r="A14" s="393"/>
      <c r="B14" s="26" t="s">
        <v>180</v>
      </c>
      <c r="C14" s="251">
        <v>80</v>
      </c>
      <c r="D14" s="239"/>
      <c r="E14" s="242"/>
      <c r="F14" s="243"/>
      <c r="G14" s="244"/>
      <c r="H14" s="231"/>
      <c r="I14" s="230"/>
      <c r="J14" s="230"/>
      <c r="K14" s="230"/>
      <c r="L14" s="231"/>
      <c r="M14" s="230"/>
      <c r="N14" s="230"/>
      <c r="O14" s="232"/>
      <c r="P14" s="231"/>
      <c r="Q14" s="229"/>
      <c r="R14" s="230"/>
      <c r="S14" s="233"/>
      <c r="T14" s="240"/>
      <c r="U14" s="230"/>
    </row>
    <row r="15" spans="1:56" ht="6" hidden="1" customHeight="1">
      <c r="A15" s="393"/>
      <c r="B15" s="252" t="s">
        <v>181</v>
      </c>
      <c r="C15" s="251">
        <v>230</v>
      </c>
      <c r="D15" s="224"/>
      <c r="E15" s="242"/>
      <c r="F15" s="243"/>
      <c r="G15" s="244"/>
      <c r="H15" s="231"/>
      <c r="I15" s="230"/>
      <c r="J15" s="230"/>
      <c r="K15" s="230"/>
      <c r="L15" s="231"/>
      <c r="M15" s="230"/>
      <c r="N15" s="230"/>
      <c r="O15" s="232"/>
      <c r="P15" s="231"/>
      <c r="Q15" s="229"/>
      <c r="R15" s="229"/>
      <c r="S15" s="233"/>
      <c r="T15" s="240"/>
      <c r="U15" s="233"/>
    </row>
    <row r="16" spans="1:56" ht="6" hidden="1" customHeight="1">
      <c r="A16" s="393"/>
      <c r="B16" s="26" t="s">
        <v>182</v>
      </c>
      <c r="C16" s="251">
        <v>80</v>
      </c>
      <c r="D16" s="224"/>
      <c r="E16" s="242"/>
      <c r="F16" s="243"/>
      <c r="G16" s="244"/>
      <c r="H16" s="231"/>
      <c r="I16" s="230"/>
      <c r="J16" s="230"/>
      <c r="K16" s="230"/>
      <c r="L16" s="231"/>
      <c r="M16" s="230"/>
      <c r="N16" s="230"/>
      <c r="O16" s="232"/>
      <c r="P16" s="231"/>
      <c r="Q16" s="229"/>
      <c r="R16" s="229"/>
      <c r="S16" s="253"/>
      <c r="T16" s="240"/>
      <c r="U16" s="230"/>
    </row>
    <row r="17" spans="1:55" ht="6" hidden="1" customHeight="1">
      <c r="A17" s="393"/>
      <c r="B17" s="26" t="s">
        <v>183</v>
      </c>
      <c r="C17" s="251">
        <v>30</v>
      </c>
      <c r="D17" s="224"/>
      <c r="E17" s="254"/>
      <c r="F17" s="255"/>
      <c r="G17" s="232"/>
      <c r="H17" s="231"/>
      <c r="I17" s="230"/>
      <c r="J17" s="230"/>
      <c r="K17" s="230"/>
      <c r="L17" s="231"/>
      <c r="M17" s="230"/>
      <c r="N17" s="230"/>
      <c r="O17" s="232"/>
      <c r="P17" s="231"/>
      <c r="Q17" s="230"/>
      <c r="R17" s="230"/>
      <c r="S17" s="233"/>
      <c r="T17" s="240"/>
      <c r="U17" s="230"/>
    </row>
    <row r="18" spans="1:55" ht="6" hidden="1" customHeight="1">
      <c r="A18" s="393"/>
      <c r="B18" s="26" t="s">
        <v>184</v>
      </c>
      <c r="C18" s="241">
        <v>26.984999999999999</v>
      </c>
      <c r="D18" s="224"/>
      <c r="E18" s="254"/>
      <c r="F18" s="255"/>
      <c r="G18" s="232"/>
      <c r="H18" s="231"/>
      <c r="I18" s="230"/>
      <c r="J18" s="230"/>
      <c r="K18" s="230"/>
      <c r="L18" s="231"/>
      <c r="M18" s="230"/>
      <c r="N18" s="230"/>
      <c r="O18" s="232"/>
      <c r="P18" s="231"/>
      <c r="Q18" s="230"/>
      <c r="R18" s="230"/>
      <c r="S18" s="233"/>
      <c r="T18" s="240"/>
      <c r="U18" s="230"/>
    </row>
    <row r="19" spans="1:55" ht="6" hidden="1" customHeight="1">
      <c r="A19" s="393"/>
      <c r="B19" s="26" t="s">
        <v>185</v>
      </c>
      <c r="C19" s="241">
        <v>26.984999999999999</v>
      </c>
      <c r="D19" s="224"/>
      <c r="E19" s="254"/>
      <c r="F19" s="255"/>
      <c r="G19" s="232"/>
      <c r="H19" s="231"/>
      <c r="I19" s="230"/>
      <c r="J19" s="230"/>
      <c r="K19" s="230"/>
      <c r="L19" s="231"/>
      <c r="M19" s="230"/>
      <c r="N19" s="230"/>
      <c r="O19" s="232"/>
      <c r="P19" s="231"/>
      <c r="Q19" s="230"/>
      <c r="R19" s="230"/>
      <c r="S19" s="233"/>
      <c r="T19" s="240"/>
      <c r="U19" s="230"/>
    </row>
    <row r="20" spans="1:55" ht="6" hidden="1" customHeight="1">
      <c r="A20" s="393"/>
      <c r="B20" s="248" t="s">
        <v>186</v>
      </c>
      <c r="C20" s="251">
        <v>86.32</v>
      </c>
      <c r="D20" s="224"/>
      <c r="E20" s="254"/>
      <c r="F20" s="255"/>
      <c r="G20" s="232"/>
      <c r="H20" s="231"/>
      <c r="I20" s="230"/>
      <c r="J20" s="230"/>
      <c r="K20" s="230"/>
      <c r="L20" s="231"/>
      <c r="M20" s="230"/>
      <c r="N20" s="230"/>
      <c r="O20" s="232"/>
      <c r="P20" s="231"/>
      <c r="Q20" s="230"/>
      <c r="R20" s="230"/>
      <c r="S20" s="233"/>
      <c r="T20" s="240"/>
      <c r="U20" s="230"/>
    </row>
    <row r="21" spans="1:55" ht="6" hidden="1" customHeight="1">
      <c r="A21" s="393"/>
      <c r="B21" s="26" t="s">
        <v>187</v>
      </c>
      <c r="C21" s="251">
        <v>80</v>
      </c>
      <c r="D21" s="256"/>
      <c r="E21" s="257"/>
      <c r="F21" s="258"/>
      <c r="G21" s="259"/>
      <c r="H21" s="231"/>
      <c r="I21" s="230"/>
      <c r="J21" s="230"/>
      <c r="K21" s="230"/>
      <c r="L21" s="231"/>
      <c r="M21" s="230"/>
      <c r="N21" s="230"/>
      <c r="O21" s="232"/>
      <c r="P21" s="231"/>
      <c r="Q21" s="230"/>
      <c r="R21" s="230"/>
      <c r="S21" s="233"/>
      <c r="T21" s="240"/>
      <c r="U21" s="230"/>
    </row>
    <row r="22" spans="1:55" ht="6" hidden="1" customHeight="1">
      <c r="A22" s="393"/>
      <c r="B22" s="26" t="s">
        <v>188</v>
      </c>
      <c r="C22" s="251">
        <v>32</v>
      </c>
      <c r="D22" s="224"/>
      <c r="E22" s="254"/>
      <c r="F22" s="255"/>
      <c r="G22" s="232"/>
      <c r="H22" s="231"/>
      <c r="I22" s="230"/>
      <c r="J22" s="230"/>
      <c r="K22" s="230"/>
      <c r="L22" s="231"/>
      <c r="M22" s="230"/>
      <c r="N22" s="230"/>
      <c r="O22" s="232"/>
      <c r="P22" s="231"/>
      <c r="Q22" s="230"/>
      <c r="R22" s="230"/>
      <c r="S22" s="233"/>
      <c r="T22" s="240"/>
      <c r="U22" s="230"/>
    </row>
    <row r="23" spans="1:55" ht="6" hidden="1" customHeight="1">
      <c r="A23" s="393"/>
      <c r="B23" s="252" t="s">
        <v>189</v>
      </c>
      <c r="C23" s="251">
        <v>250</v>
      </c>
      <c r="D23" s="224"/>
      <c r="E23" s="254"/>
      <c r="F23" s="255"/>
      <c r="G23" s="232"/>
      <c r="H23" s="231"/>
      <c r="I23" s="230"/>
      <c r="J23" s="230"/>
      <c r="K23" s="230"/>
      <c r="L23" s="231"/>
      <c r="M23" s="230"/>
      <c r="N23" s="230"/>
      <c r="O23" s="232"/>
      <c r="P23" s="231"/>
      <c r="Q23" s="230"/>
      <c r="R23" s="230"/>
      <c r="S23" s="233"/>
      <c r="T23" s="240"/>
      <c r="U23" s="230"/>
    </row>
    <row r="24" spans="1:55" ht="6" hidden="1" customHeight="1">
      <c r="A24" s="393"/>
      <c r="B24" s="26" t="s">
        <v>190</v>
      </c>
      <c r="C24" s="260"/>
      <c r="D24" s="224"/>
      <c r="E24" s="254"/>
      <c r="F24" s="255"/>
      <c r="G24" s="232"/>
      <c r="H24" s="231"/>
      <c r="I24" s="230"/>
      <c r="J24" s="230"/>
      <c r="K24" s="230"/>
      <c r="L24" s="231"/>
      <c r="M24" s="230"/>
      <c r="N24" s="230"/>
      <c r="O24" s="232"/>
      <c r="P24" s="231"/>
      <c r="Q24" s="230"/>
      <c r="R24" s="230"/>
      <c r="S24" s="233"/>
      <c r="T24" s="240"/>
      <c r="U24" s="230"/>
    </row>
    <row r="25" spans="1:55" ht="17" hidden="1" customHeight="1">
      <c r="A25" s="393"/>
      <c r="B25" s="261" t="s">
        <v>191</v>
      </c>
      <c r="C25" s="262">
        <v>9.6</v>
      </c>
      <c r="D25" s="224"/>
      <c r="E25" s="254"/>
      <c r="F25" s="255"/>
      <c r="G25" s="232"/>
      <c r="H25" s="231"/>
      <c r="I25" s="230"/>
      <c r="J25" s="230"/>
      <c r="K25" s="230"/>
      <c r="L25" s="231"/>
      <c r="M25" s="230"/>
      <c r="N25" s="230"/>
      <c r="O25" s="232"/>
      <c r="P25" s="231"/>
      <c r="Q25" s="230"/>
      <c r="R25" s="230"/>
      <c r="S25" s="233"/>
      <c r="T25" s="240"/>
      <c r="U25" s="230"/>
    </row>
    <row r="26" spans="1:55" ht="28" customHeight="1">
      <c r="A26" s="393"/>
      <c r="B26" s="263" t="s">
        <v>192</v>
      </c>
      <c r="C26" s="264">
        <v>600</v>
      </c>
      <c r="D26" s="224"/>
      <c r="E26" s="254"/>
      <c r="F26" s="255"/>
      <c r="G26" s="232"/>
      <c r="H26" s="231"/>
      <c r="I26" s="230"/>
      <c r="J26" s="230"/>
      <c r="K26" s="230"/>
      <c r="L26" s="231"/>
      <c r="M26" s="230"/>
      <c r="N26" s="230"/>
      <c r="O26" s="232"/>
      <c r="P26" s="231"/>
      <c r="Q26" s="230"/>
      <c r="R26" s="230"/>
      <c r="S26" s="233"/>
      <c r="T26" s="240"/>
      <c r="U26" s="230"/>
    </row>
    <row r="27" spans="1:55" s="219" customFormat="1" ht="26" customHeight="1">
      <c r="A27" s="393"/>
      <c r="B27" s="208" t="s">
        <v>193</v>
      </c>
      <c r="C27" s="209">
        <f>SUM(C28:C36)</f>
        <v>33069.5</v>
      </c>
      <c r="D27" s="210"/>
      <c r="E27" s="265"/>
      <c r="F27" s="266"/>
      <c r="G27" s="216"/>
      <c r="H27" s="214"/>
      <c r="I27" s="215"/>
      <c r="J27" s="215"/>
      <c r="K27" s="215"/>
      <c r="L27" s="214"/>
      <c r="M27" s="215"/>
      <c r="N27" s="215"/>
      <c r="O27" s="216"/>
      <c r="P27" s="214"/>
      <c r="Q27" s="215"/>
      <c r="R27" s="215"/>
      <c r="S27" s="217"/>
      <c r="T27" s="218"/>
      <c r="U27" s="215"/>
      <c r="W27" s="220"/>
      <c r="X27" s="221"/>
      <c r="AA27" s="220"/>
      <c r="AB27" s="221"/>
      <c r="AE27" s="220"/>
      <c r="AF27" s="221"/>
      <c r="AI27" s="220"/>
      <c r="AM27" s="220"/>
      <c r="AQ27" s="220"/>
      <c r="AU27" s="220"/>
      <c r="AY27" s="220"/>
      <c r="BC27" s="220"/>
    </row>
    <row r="28" spans="1:55" ht="28" customHeight="1">
      <c r="A28" s="393"/>
      <c r="B28" s="267" t="s">
        <v>194</v>
      </c>
      <c r="C28" s="268">
        <v>19725</v>
      </c>
      <c r="D28" s="224"/>
      <c r="E28" s="254"/>
      <c r="F28" s="255"/>
      <c r="G28" s="232"/>
      <c r="H28" s="231"/>
      <c r="I28" s="230"/>
      <c r="J28" s="230"/>
      <c r="K28" s="230"/>
      <c r="L28" s="231"/>
      <c r="M28" s="230"/>
      <c r="N28" s="230"/>
      <c r="O28" s="232"/>
      <c r="P28" s="231"/>
      <c r="Q28" s="230"/>
      <c r="R28" s="230"/>
      <c r="S28" s="233"/>
      <c r="T28" s="240"/>
      <c r="U28" s="230"/>
    </row>
    <row r="29" spans="1:55" ht="36.75" customHeight="1">
      <c r="A29" s="393"/>
      <c r="B29" s="267" t="s">
        <v>195</v>
      </c>
      <c r="C29" s="269">
        <v>2311.36</v>
      </c>
      <c r="D29" s="224" t="s">
        <v>196</v>
      </c>
      <c r="E29" s="254"/>
      <c r="F29" s="255"/>
      <c r="G29" s="232"/>
      <c r="H29" s="231"/>
      <c r="I29" s="230"/>
      <c r="J29" s="230"/>
      <c r="K29" s="230"/>
      <c r="L29" s="231"/>
      <c r="M29" s="230"/>
      <c r="N29" s="230"/>
      <c r="O29" s="232"/>
      <c r="P29" s="231"/>
      <c r="Q29" s="230"/>
      <c r="R29" s="230"/>
      <c r="S29" s="233"/>
      <c r="T29" s="240"/>
      <c r="U29" s="230"/>
    </row>
    <row r="30" spans="1:55" ht="26" customHeight="1">
      <c r="A30" s="393"/>
      <c r="B30" s="270" t="s">
        <v>197</v>
      </c>
      <c r="C30" s="269">
        <v>3688.64</v>
      </c>
      <c r="D30" s="224"/>
      <c r="E30" s="254"/>
      <c r="F30" s="255"/>
      <c r="G30" s="232"/>
      <c r="H30" s="231"/>
      <c r="I30" s="230"/>
      <c r="J30" s="230"/>
      <c r="K30" s="230"/>
      <c r="L30" s="231"/>
      <c r="M30" s="230"/>
      <c r="N30" s="230"/>
      <c r="O30" s="232"/>
      <c r="P30" s="231"/>
      <c r="Q30" s="230"/>
      <c r="R30" s="230"/>
      <c r="S30" s="233"/>
      <c r="T30" s="240"/>
      <c r="U30" s="230"/>
    </row>
    <row r="31" spans="1:55" ht="30" customHeight="1">
      <c r="A31" s="393"/>
      <c r="B31" s="267" t="s">
        <v>198</v>
      </c>
      <c r="C31" s="269">
        <v>2000</v>
      </c>
      <c r="D31" s="224"/>
      <c r="E31" s="254"/>
      <c r="F31" s="255"/>
      <c r="G31" s="232"/>
      <c r="H31" s="231"/>
      <c r="I31" s="230"/>
      <c r="J31" s="230"/>
      <c r="K31" s="230"/>
      <c r="L31" s="231"/>
      <c r="M31" s="230"/>
      <c r="N31" s="230"/>
      <c r="O31" s="232"/>
      <c r="P31" s="231"/>
      <c r="Q31" s="230"/>
      <c r="R31" s="230"/>
      <c r="S31" s="233"/>
      <c r="T31" s="240"/>
      <c r="U31" s="230"/>
    </row>
    <row r="32" spans="1:55" ht="29" customHeight="1">
      <c r="A32" s="393"/>
      <c r="B32" s="267" t="s">
        <v>199</v>
      </c>
      <c r="C32" s="269">
        <v>800</v>
      </c>
      <c r="D32" s="224"/>
      <c r="E32" s="254"/>
      <c r="F32" s="255"/>
      <c r="G32" s="232"/>
      <c r="H32" s="231"/>
      <c r="I32" s="230"/>
      <c r="J32" s="230"/>
      <c r="K32" s="230"/>
      <c r="L32" s="231"/>
      <c r="M32" s="230"/>
      <c r="N32" s="230"/>
      <c r="O32" s="232"/>
      <c r="P32" s="231"/>
      <c r="Q32" s="230"/>
      <c r="R32" s="230"/>
      <c r="S32" s="233"/>
      <c r="T32" s="240"/>
      <c r="U32" s="230"/>
    </row>
    <row r="33" spans="1:21" ht="23" customHeight="1">
      <c r="A33" s="393"/>
      <c r="B33" s="267" t="s">
        <v>200</v>
      </c>
      <c r="C33" s="269">
        <v>2000</v>
      </c>
      <c r="D33" s="224"/>
      <c r="E33" s="254"/>
      <c r="F33" s="255"/>
      <c r="G33" s="232"/>
      <c r="H33" s="231"/>
      <c r="I33" s="230"/>
      <c r="J33" s="230"/>
      <c r="K33" s="230"/>
      <c r="L33" s="231"/>
      <c r="M33" s="230"/>
      <c r="N33" s="230"/>
      <c r="O33" s="232"/>
      <c r="P33" s="231"/>
      <c r="Q33" s="230"/>
      <c r="R33" s="230"/>
      <c r="S33" s="233"/>
      <c r="T33" s="240"/>
      <c r="U33" s="230"/>
    </row>
    <row r="34" spans="1:21" ht="36.75" customHeight="1">
      <c r="A34" s="393"/>
      <c r="B34" s="248" t="s">
        <v>201</v>
      </c>
      <c r="C34" s="269">
        <v>1644.5</v>
      </c>
      <c r="D34" s="224"/>
      <c r="E34" s="254"/>
      <c r="F34" s="255"/>
      <c r="G34" s="232"/>
      <c r="H34" s="231"/>
      <c r="I34" s="230"/>
      <c r="J34" s="230"/>
      <c r="K34" s="230"/>
      <c r="L34" s="231"/>
      <c r="M34" s="230"/>
      <c r="N34" s="230"/>
      <c r="O34" s="232"/>
      <c r="P34" s="231"/>
      <c r="Q34" s="230"/>
      <c r="R34" s="230"/>
      <c r="S34" s="233"/>
      <c r="T34" s="240"/>
      <c r="U34" s="230"/>
    </row>
    <row r="35" spans="1:21" ht="22" customHeight="1">
      <c r="A35" s="393"/>
      <c r="B35" s="248" t="s">
        <v>202</v>
      </c>
      <c r="C35" s="269"/>
      <c r="D35" s="224" t="s">
        <v>24</v>
      </c>
      <c r="E35" s="254"/>
      <c r="F35" s="255"/>
      <c r="G35" s="232"/>
      <c r="H35" s="231"/>
      <c r="I35" s="230"/>
      <c r="J35" s="230"/>
      <c r="K35" s="230"/>
      <c r="L35" s="231"/>
      <c r="M35" s="230"/>
      <c r="N35" s="230"/>
      <c r="O35" s="232"/>
      <c r="P35" s="231"/>
      <c r="Q35" s="230"/>
      <c r="R35" s="230"/>
      <c r="S35" s="233"/>
      <c r="T35" s="240"/>
      <c r="U35" s="230"/>
    </row>
    <row r="36" spans="1:21" ht="26" customHeight="1">
      <c r="A36" s="393"/>
      <c r="B36" s="248" t="s">
        <v>203</v>
      </c>
      <c r="C36" s="269">
        <v>900</v>
      </c>
      <c r="D36" s="224"/>
      <c r="E36" s="254"/>
      <c r="F36" s="255"/>
      <c r="G36" s="232"/>
      <c r="H36" s="231"/>
      <c r="I36" s="230"/>
      <c r="J36" s="230"/>
      <c r="K36" s="230"/>
      <c r="L36" s="231"/>
      <c r="M36" s="230"/>
      <c r="N36" s="230"/>
      <c r="O36" s="232"/>
      <c r="P36" s="231"/>
      <c r="Q36" s="230"/>
      <c r="R36" s="230"/>
      <c r="S36" s="233"/>
      <c r="T36" s="240"/>
      <c r="U36" s="230"/>
    </row>
    <row r="37" spans="1:21" ht="28" customHeight="1">
      <c r="A37" s="393"/>
      <c r="B37" s="271" t="s">
        <v>204</v>
      </c>
      <c r="C37" s="272"/>
      <c r="D37" s="224" t="s">
        <v>205</v>
      </c>
      <c r="E37" s="254"/>
      <c r="F37" s="255"/>
      <c r="G37" s="232"/>
      <c r="H37" s="231"/>
      <c r="I37" s="230"/>
      <c r="J37" s="230"/>
      <c r="K37" s="230"/>
      <c r="L37" s="231"/>
      <c r="M37" s="230"/>
      <c r="N37" s="230"/>
      <c r="O37" s="232"/>
      <c r="P37" s="231"/>
      <c r="Q37" s="230"/>
      <c r="R37" s="230"/>
      <c r="S37" s="233"/>
      <c r="T37" s="240"/>
      <c r="U37" s="230"/>
    </row>
    <row r="38" spans="1:21" ht="29" customHeight="1">
      <c r="A38" s="393"/>
      <c r="B38" s="273" t="s">
        <v>206</v>
      </c>
      <c r="C38" s="274"/>
      <c r="D38" s="46" t="s">
        <v>24</v>
      </c>
    </row>
    <row r="39" spans="1:21" ht="29" customHeight="1">
      <c r="A39" s="393"/>
      <c r="B39" s="275" t="s">
        <v>207</v>
      </c>
      <c r="C39" s="274">
        <v>1200</v>
      </c>
    </row>
    <row r="40" spans="1:21" ht="19" customHeight="1">
      <c r="A40" s="393"/>
      <c r="B40" s="208" t="s">
        <v>208</v>
      </c>
      <c r="C40" s="274"/>
    </row>
    <row r="41" spans="1:21" ht="29" customHeight="1">
      <c r="A41" s="393"/>
      <c r="B41" s="275" t="s">
        <v>209</v>
      </c>
      <c r="C41" s="274"/>
      <c r="D41" s="46" t="s">
        <v>210</v>
      </c>
    </row>
    <row r="42" spans="1:21" ht="29" customHeight="1">
      <c r="A42" s="393"/>
      <c r="B42" s="275" t="s">
        <v>211</v>
      </c>
      <c r="C42" s="274"/>
      <c r="D42" s="46" t="s">
        <v>212</v>
      </c>
    </row>
    <row r="43" spans="1:21" ht="29" customHeight="1">
      <c r="A43" s="393"/>
      <c r="B43" s="275" t="s">
        <v>213</v>
      </c>
      <c r="C43" s="274"/>
    </row>
    <row r="44" spans="1:21" ht="29" customHeight="1">
      <c r="A44" s="393"/>
      <c r="B44" s="208" t="s">
        <v>214</v>
      </c>
      <c r="C44" s="274"/>
    </row>
    <row r="45" spans="1:21" ht="26" customHeight="1">
      <c r="A45" s="393" t="s">
        <v>215</v>
      </c>
      <c r="B45" s="276" t="str">
        <f>A45</f>
        <v>BFT (Bitexco Financial Tower)</v>
      </c>
      <c r="C45" s="274">
        <f>[1]BFT!K41</f>
        <v>3608</v>
      </c>
    </row>
    <row r="46" spans="1:21" ht="9" customHeight="1">
      <c r="A46" s="393"/>
      <c r="B46" s="276"/>
      <c r="C46" s="274"/>
    </row>
    <row r="47" spans="1:21" ht="9" customHeight="1">
      <c r="A47" s="393"/>
      <c r="B47" s="276"/>
      <c r="C47" s="274"/>
    </row>
    <row r="48" spans="1:21" ht="33" customHeight="1">
      <c r="A48" s="393" t="s">
        <v>216</v>
      </c>
      <c r="B48" s="276" t="str">
        <f t="shared" ref="B48:B55" si="0">A48</f>
        <v>MINH QUANG (HN/HCM)</v>
      </c>
      <c r="C48" s="274"/>
    </row>
    <row r="49" spans="1:3" ht="25" customHeight="1">
      <c r="A49" s="393"/>
      <c r="B49" s="275" t="s">
        <v>217</v>
      </c>
      <c r="C49" s="277"/>
    </row>
    <row r="50" spans="1:3" ht="25" customHeight="1">
      <c r="A50" s="393"/>
      <c r="B50" s="275" t="s">
        <v>218</v>
      </c>
      <c r="C50" s="269">
        <v>1000</v>
      </c>
    </row>
    <row r="51" spans="1:3" ht="25" customHeight="1">
      <c r="A51" s="393"/>
      <c r="B51" s="275" t="s">
        <v>219</v>
      </c>
      <c r="C51" s="274"/>
    </row>
    <row r="52" spans="1:3" ht="25" customHeight="1">
      <c r="A52" s="393"/>
      <c r="B52" s="275" t="s">
        <v>220</v>
      </c>
      <c r="C52" s="274"/>
    </row>
    <row r="53" spans="1:3" ht="25" customHeight="1">
      <c r="A53" s="393" t="s">
        <v>221</v>
      </c>
      <c r="B53" s="276" t="str">
        <f t="shared" si="0"/>
        <v>THE GARDEN</v>
      </c>
      <c r="C53" s="274">
        <f>[1]TheGarden!D49</f>
        <v>3176.74</v>
      </c>
    </row>
    <row r="54" spans="1:3" ht="25" customHeight="1">
      <c r="A54" s="393"/>
      <c r="B54" s="276"/>
      <c r="C54" s="274"/>
    </row>
    <row r="55" spans="1:3" ht="33" customHeight="1">
      <c r="A55" s="393" t="s">
        <v>222</v>
      </c>
      <c r="B55" s="276" t="str">
        <f t="shared" si="0"/>
        <v>BIGCAPITAL (HN/HCM/GLOBAL/Enrg)</v>
      </c>
      <c r="C55" s="274"/>
    </row>
    <row r="56" spans="1:3" ht="17" customHeight="1">
      <c r="A56" s="393"/>
      <c r="B56" s="275" t="s">
        <v>223</v>
      </c>
      <c r="C56" s="277"/>
    </row>
    <row r="57" spans="1:3" ht="17" customHeight="1">
      <c r="A57" s="393"/>
      <c r="B57" s="277" t="s">
        <v>224</v>
      </c>
      <c r="C57" s="277"/>
    </row>
    <row r="58" spans="1:3" ht="17" customHeight="1">
      <c r="A58" s="393"/>
      <c r="B58" s="277" t="s">
        <v>225</v>
      </c>
      <c r="C58" s="277"/>
    </row>
    <row r="59" spans="1:3" ht="17" customHeight="1">
      <c r="A59" s="393"/>
      <c r="B59" s="277" t="s">
        <v>226</v>
      </c>
      <c r="C59" s="277"/>
    </row>
    <row r="60" spans="1:3" ht="25" customHeight="1">
      <c r="A60" s="393" t="s">
        <v>227</v>
      </c>
      <c r="B60" s="276" t="str">
        <f>A60</f>
        <v>BITEXCO ENERGY (HN/HCM)</v>
      </c>
      <c r="C60" s="277"/>
    </row>
    <row r="61" spans="1:3" ht="15" customHeight="1">
      <c r="A61" s="393"/>
      <c r="B61" s="275" t="s">
        <v>228</v>
      </c>
      <c r="C61" s="277"/>
    </row>
    <row r="62" spans="1:3" ht="15" customHeight="1">
      <c r="A62" s="393"/>
      <c r="B62" s="275" t="s">
        <v>223</v>
      </c>
      <c r="C62" s="277"/>
    </row>
    <row r="63" spans="1:3" ht="15" customHeight="1">
      <c r="A63" s="393"/>
      <c r="B63" s="277" t="s">
        <v>224</v>
      </c>
      <c r="C63" s="277"/>
    </row>
    <row r="64" spans="1:3" ht="15" customHeight="1">
      <c r="A64" s="393"/>
      <c r="B64" s="277" t="s">
        <v>229</v>
      </c>
      <c r="C64" s="277"/>
    </row>
    <row r="65" spans="1:3" ht="15" customHeight="1">
      <c r="A65" s="393"/>
      <c r="B65" s="277" t="s">
        <v>226</v>
      </c>
      <c r="C65" s="277"/>
    </row>
    <row r="66" spans="1:3" ht="20" customHeight="1">
      <c r="A66" s="393" t="s">
        <v>230</v>
      </c>
      <c r="B66" s="278" t="str">
        <f>A66</f>
        <v>DIAMOND</v>
      </c>
      <c r="C66" s="277"/>
    </row>
    <row r="67" spans="1:3" ht="21" customHeight="1">
      <c r="A67" s="393"/>
      <c r="B67" s="277" t="s">
        <v>231</v>
      </c>
      <c r="C67" s="277"/>
    </row>
    <row r="68" spans="1:3" ht="33" customHeight="1">
      <c r="A68" s="393"/>
      <c r="B68" s="277"/>
      <c r="C68" s="277"/>
    </row>
    <row r="69" spans="1:3" ht="33" customHeight="1">
      <c r="A69" s="278"/>
      <c r="B69" s="277"/>
      <c r="C69" s="277"/>
    </row>
    <row r="70" spans="1:3" ht="33" customHeight="1">
      <c r="A70" s="278"/>
      <c r="B70" s="277"/>
      <c r="C70" s="277"/>
    </row>
    <row r="71" spans="1:3" ht="33" customHeight="1">
      <c r="A71" s="278"/>
      <c r="B71" s="277"/>
      <c r="C71" s="277"/>
    </row>
    <row r="72" spans="1:3" ht="33" customHeight="1">
      <c r="A72" s="278"/>
      <c r="B72" s="277"/>
      <c r="C72" s="277"/>
    </row>
    <row r="73" spans="1:3" ht="33" customHeight="1">
      <c r="A73" s="278"/>
      <c r="B73" s="277"/>
      <c r="C73" s="277"/>
    </row>
    <row r="74" spans="1:3" ht="33" customHeight="1">
      <c r="A74" s="278"/>
      <c r="B74" s="277"/>
      <c r="C74" s="277"/>
    </row>
    <row r="75" spans="1:3" ht="33" customHeight="1">
      <c r="A75" s="278"/>
      <c r="B75" s="277"/>
      <c r="C75" s="277"/>
    </row>
    <row r="76" spans="1:3" ht="33" customHeight="1">
      <c r="A76" s="278"/>
      <c r="B76" s="277"/>
      <c r="C76" s="277"/>
    </row>
    <row r="77" spans="1:3" ht="33" customHeight="1">
      <c r="A77" s="278"/>
      <c r="B77" s="277"/>
      <c r="C77" s="277"/>
    </row>
    <row r="78" spans="1:3" ht="33" customHeight="1">
      <c r="A78" s="278"/>
      <c r="B78" s="277"/>
      <c r="C78" s="277"/>
    </row>
    <row r="79" spans="1:3" ht="33" customHeight="1">
      <c r="A79" s="278"/>
      <c r="B79" s="277"/>
      <c r="C79" s="277"/>
    </row>
    <row r="80" spans="1:3" ht="33" customHeight="1">
      <c r="A80" s="278"/>
      <c r="B80" s="277"/>
      <c r="C80" s="277"/>
    </row>
    <row r="81" spans="1:3" ht="33" customHeight="1">
      <c r="A81" s="278"/>
      <c r="B81" s="277"/>
      <c r="C81" s="277"/>
    </row>
    <row r="82" spans="1:3" ht="33" customHeight="1">
      <c r="A82" s="278"/>
      <c r="B82" s="277"/>
      <c r="C82" s="277"/>
    </row>
    <row r="83" spans="1:3" ht="33" customHeight="1">
      <c r="A83" s="278"/>
      <c r="B83" s="277"/>
      <c r="C83" s="277"/>
    </row>
    <row r="84" spans="1:3" ht="33" customHeight="1">
      <c r="A84" s="278"/>
      <c r="B84" s="277"/>
      <c r="C84" s="277"/>
    </row>
  </sheetData>
  <mergeCells count="12">
    <mergeCell ref="AZ3:BC3"/>
    <mergeCell ref="H3:K3"/>
    <mergeCell ref="L3:O3"/>
    <mergeCell ref="P3:S3"/>
    <mergeCell ref="T3:W3"/>
    <mergeCell ref="X3:AA3"/>
    <mergeCell ref="AB3:AE3"/>
    <mergeCell ref="AF3:AI3"/>
    <mergeCell ref="AJ3:AM3"/>
    <mergeCell ref="AN3:AQ3"/>
    <mergeCell ref="AR3:AU3"/>
    <mergeCell ref="AV3:AY3"/>
  </mergeCells>
  <dataValidations count="1">
    <dataValidation type="list" allowBlank="1" sqref="G5:G16" xr:uid="{8401A00C-1C94-A843-8C26-2FE6E5B6073A}">
      <formula1>"⏳ Not started,✏️ In progress,⛔️ Blocked,👀 Under review,✅ Completed"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F4AA-F472-8B4D-831D-0C44FC93E94B}">
  <dimension ref="A1:E13"/>
  <sheetViews>
    <sheetView zoomScale="134" workbookViewId="0">
      <selection activeCell="C11" sqref="C11"/>
    </sheetView>
  </sheetViews>
  <sheetFormatPr baseColWidth="10" defaultColWidth="11.5" defaultRowHeight="15"/>
  <cols>
    <col min="1" max="1" width="32" customWidth="1"/>
    <col min="2" max="2" width="41.5" customWidth="1"/>
    <col min="3" max="3" width="15.5" customWidth="1"/>
    <col min="5" max="5" width="12.1640625" bestFit="1" customWidth="1"/>
  </cols>
  <sheetData>
    <row r="1" spans="1:5" ht="24" customHeight="1">
      <c r="A1" s="520" t="s">
        <v>232</v>
      </c>
      <c r="B1" s="521"/>
      <c r="C1" s="521"/>
      <c r="D1" s="521"/>
    </row>
    <row r="2" spans="1:5" ht="32">
      <c r="A2" s="65" t="s">
        <v>233</v>
      </c>
      <c r="B2" s="65" t="s">
        <v>234</v>
      </c>
      <c r="C2" s="65" t="s">
        <v>235</v>
      </c>
      <c r="D2" s="65" t="s">
        <v>236</v>
      </c>
    </row>
    <row r="3" spans="1:5" ht="32">
      <c r="A3" s="64" t="s">
        <v>237</v>
      </c>
      <c r="B3" s="65" t="s">
        <v>238</v>
      </c>
      <c r="C3" s="65">
        <v>16.53</v>
      </c>
      <c r="D3" s="65" t="s">
        <v>239</v>
      </c>
    </row>
    <row r="4" spans="1:5" ht="32">
      <c r="A4" s="64" t="s">
        <v>240</v>
      </c>
      <c r="B4" s="64" t="s">
        <v>241</v>
      </c>
      <c r="C4" s="65">
        <v>3.97</v>
      </c>
      <c r="D4" s="64" t="s">
        <v>242</v>
      </c>
    </row>
    <row r="5" spans="1:5" ht="32">
      <c r="A5" s="64" t="s">
        <v>243</v>
      </c>
      <c r="B5" s="64" t="s">
        <v>244</v>
      </c>
      <c r="C5" s="65">
        <v>0.08</v>
      </c>
      <c r="D5" s="64" t="s">
        <v>245</v>
      </c>
    </row>
    <row r="6" spans="1:5" ht="32">
      <c r="A6" s="64" t="s">
        <v>246</v>
      </c>
      <c r="B6" s="64" t="s">
        <v>247</v>
      </c>
      <c r="C6" s="65">
        <v>0.03</v>
      </c>
      <c r="D6" s="64" t="s">
        <v>248</v>
      </c>
    </row>
    <row r="7" spans="1:5" ht="32">
      <c r="A7" s="64" t="s">
        <v>249</v>
      </c>
      <c r="B7" s="64" t="s">
        <v>250</v>
      </c>
      <c r="C7" s="65">
        <v>0.05</v>
      </c>
      <c r="D7" s="64" t="s">
        <v>251</v>
      </c>
    </row>
    <row r="8" spans="1:5" ht="32">
      <c r="A8" s="64" t="s">
        <v>252</v>
      </c>
      <c r="B8" s="64" t="s">
        <v>253</v>
      </c>
      <c r="C8" s="65">
        <v>0.3</v>
      </c>
      <c r="D8" s="65" t="s">
        <v>254</v>
      </c>
    </row>
    <row r="9" spans="1:5" ht="32">
      <c r="A9" s="64" t="s">
        <v>255</v>
      </c>
      <c r="B9" s="64" t="s">
        <v>256</v>
      </c>
      <c r="C9" s="65">
        <v>0.4</v>
      </c>
      <c r="D9" s="64" t="s">
        <v>239</v>
      </c>
    </row>
    <row r="10" spans="1:5" ht="16" customHeight="1">
      <c r="A10" s="64" t="s">
        <v>257</v>
      </c>
      <c r="B10" s="64" t="s">
        <v>258</v>
      </c>
      <c r="C10" s="65">
        <v>0.25</v>
      </c>
      <c r="D10" s="64" t="s">
        <v>254</v>
      </c>
    </row>
    <row r="11" spans="1:5" ht="32">
      <c r="A11" s="64" t="s">
        <v>259</v>
      </c>
      <c r="B11" s="64" t="s">
        <v>260</v>
      </c>
      <c r="C11" s="65">
        <v>0.04</v>
      </c>
      <c r="D11" s="64" t="s">
        <v>254</v>
      </c>
      <c r="E11" s="67" t="s">
        <v>261</v>
      </c>
    </row>
    <row r="12" spans="1:5" ht="32">
      <c r="A12" s="64" t="s">
        <v>262</v>
      </c>
      <c r="B12" s="64" t="s">
        <v>263</v>
      </c>
      <c r="C12" s="65">
        <v>0.2</v>
      </c>
      <c r="D12" s="64" t="s">
        <v>254</v>
      </c>
    </row>
    <row r="13" spans="1:5" ht="16" customHeight="1">
      <c r="A13" s="522" t="s">
        <v>264</v>
      </c>
      <c r="B13" s="522"/>
      <c r="C13" s="44">
        <f>SUM(C3:C12)</f>
        <v>21.849999999999998</v>
      </c>
    </row>
  </sheetData>
  <mergeCells count="2">
    <mergeCell ref="A1:D1"/>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BEE9-F211-9D4E-AFD2-A9736555F51E}">
  <dimension ref="A1:E35"/>
  <sheetViews>
    <sheetView zoomScale="139" workbookViewId="0">
      <selection activeCell="D14" sqref="D14"/>
    </sheetView>
  </sheetViews>
  <sheetFormatPr baseColWidth="10" defaultColWidth="10.83203125" defaultRowHeight="15"/>
  <cols>
    <col min="1" max="1" width="17.33203125" style="45" customWidth="1"/>
    <col min="2" max="2" width="20.83203125" style="45" customWidth="1"/>
    <col min="3" max="3" width="26.6640625" style="45" customWidth="1"/>
    <col min="4" max="4" width="10.83203125" style="63"/>
    <col min="5" max="16384" width="10.83203125" style="45"/>
  </cols>
  <sheetData>
    <row r="1" spans="1:5">
      <c r="A1" s="308" t="s">
        <v>265</v>
      </c>
      <c r="B1" s="309"/>
      <c r="C1" s="309"/>
      <c r="D1" s="310"/>
      <c r="E1" s="309"/>
    </row>
    <row r="2" spans="1:5" ht="3" customHeight="1">
      <c r="A2" s="309"/>
      <c r="B2" s="309"/>
      <c r="C2" s="309"/>
      <c r="D2" s="310"/>
      <c r="E2" s="309"/>
    </row>
    <row r="3" spans="1:5">
      <c r="A3" s="308" t="s">
        <v>266</v>
      </c>
      <c r="B3" s="308" t="s">
        <v>267</v>
      </c>
      <c r="C3" s="308" t="s">
        <v>268</v>
      </c>
      <c r="D3" s="311" t="s">
        <v>269</v>
      </c>
      <c r="E3" s="308" t="s">
        <v>270</v>
      </c>
    </row>
    <row r="4" spans="1:5">
      <c r="A4" s="309" t="s">
        <v>271</v>
      </c>
      <c r="B4" s="309" t="s">
        <v>22</v>
      </c>
      <c r="C4" s="309" t="s">
        <v>272</v>
      </c>
      <c r="D4" s="312">
        <v>2</v>
      </c>
      <c r="E4" s="309" t="s">
        <v>273</v>
      </c>
    </row>
    <row r="5" spans="1:5">
      <c r="A5" s="309" t="s">
        <v>143</v>
      </c>
      <c r="B5" s="309" t="s">
        <v>274</v>
      </c>
      <c r="C5" s="309" t="s">
        <v>275</v>
      </c>
      <c r="D5" s="312">
        <v>1.5</v>
      </c>
      <c r="E5" s="309" t="s">
        <v>276</v>
      </c>
    </row>
    <row r="6" spans="1:5">
      <c r="A6" s="309" t="s">
        <v>277</v>
      </c>
      <c r="B6" s="309" t="s">
        <v>278</v>
      </c>
      <c r="C6" s="309" t="s">
        <v>279</v>
      </c>
      <c r="D6" s="312">
        <v>0.8</v>
      </c>
      <c r="E6" s="309" t="s">
        <v>280</v>
      </c>
    </row>
    <row r="7" spans="1:5">
      <c r="A7" s="309" t="s">
        <v>281</v>
      </c>
      <c r="B7" s="309" t="s">
        <v>282</v>
      </c>
      <c r="C7" s="309" t="s">
        <v>283</v>
      </c>
      <c r="D7" s="312">
        <v>0.5</v>
      </c>
      <c r="E7" s="309" t="s">
        <v>284</v>
      </c>
    </row>
    <row r="8" spans="1:5" ht="16">
      <c r="A8" s="313" t="s">
        <v>285</v>
      </c>
      <c r="B8" s="309" t="s">
        <v>286</v>
      </c>
      <c r="C8" s="309"/>
      <c r="D8" s="312"/>
      <c r="E8" s="309"/>
    </row>
    <row r="9" spans="1:5">
      <c r="A9" s="308" t="s">
        <v>287</v>
      </c>
      <c r="B9" s="309"/>
      <c r="C9" s="309"/>
      <c r="D9" s="312">
        <f>SUM(D4:D7)</f>
        <v>4.8</v>
      </c>
      <c r="E9" s="309"/>
    </row>
    <row r="10" spans="1:5" ht="5" customHeight="1">
      <c r="A10" s="309"/>
      <c r="B10" s="309"/>
      <c r="C10" s="309"/>
      <c r="D10" s="310"/>
      <c r="E10" s="309"/>
    </row>
    <row r="11" spans="1:5">
      <c r="A11" s="308" t="s">
        <v>288</v>
      </c>
      <c r="B11" s="309"/>
      <c r="C11" s="309"/>
      <c r="D11" s="310"/>
      <c r="E11" s="309"/>
    </row>
    <row r="12" spans="1:5" ht="3" customHeight="1">
      <c r="A12" s="309"/>
      <c r="B12" s="309"/>
      <c r="C12" s="309"/>
      <c r="D12" s="310"/>
      <c r="E12" s="309"/>
    </row>
    <row r="13" spans="1:5">
      <c r="A13" s="308" t="s">
        <v>289</v>
      </c>
      <c r="B13" s="308" t="s">
        <v>290</v>
      </c>
      <c r="C13" s="308" t="s">
        <v>291</v>
      </c>
      <c r="D13" s="311" t="s">
        <v>269</v>
      </c>
      <c r="E13" s="308" t="s">
        <v>236</v>
      </c>
    </row>
    <row r="14" spans="1:5">
      <c r="A14" s="309" t="s">
        <v>292</v>
      </c>
      <c r="B14" s="309" t="s">
        <v>293</v>
      </c>
      <c r="C14" s="309" t="s">
        <v>294</v>
      </c>
      <c r="D14" s="314">
        <v>1.5</v>
      </c>
      <c r="E14" s="309" t="s">
        <v>295</v>
      </c>
    </row>
    <row r="15" spans="1:5">
      <c r="A15" s="309" t="s">
        <v>296</v>
      </c>
      <c r="B15" s="309" t="s">
        <v>297</v>
      </c>
      <c r="C15" s="309" t="s">
        <v>298</v>
      </c>
      <c r="D15" s="314">
        <v>1</v>
      </c>
      <c r="E15" s="309" t="s">
        <v>276</v>
      </c>
    </row>
    <row r="16" spans="1:5">
      <c r="A16" s="309" t="s">
        <v>21</v>
      </c>
      <c r="B16" s="309" t="s">
        <v>299</v>
      </c>
      <c r="C16" s="309" t="s">
        <v>300</v>
      </c>
      <c r="D16" s="314" t="s">
        <v>301</v>
      </c>
      <c r="E16" s="309" t="s">
        <v>302</v>
      </c>
    </row>
    <row r="17" spans="1:5">
      <c r="A17" s="309" t="s">
        <v>281</v>
      </c>
      <c r="B17" s="309" t="s">
        <v>303</v>
      </c>
      <c r="C17" s="309" t="s">
        <v>304</v>
      </c>
      <c r="D17" s="314">
        <v>0.5</v>
      </c>
      <c r="E17" s="309" t="s">
        <v>276</v>
      </c>
    </row>
    <row r="18" spans="1:5">
      <c r="A18" s="308" t="s">
        <v>305</v>
      </c>
      <c r="B18" s="309"/>
      <c r="C18" s="309"/>
      <c r="D18" s="314">
        <f>SUM(D14:D17)</f>
        <v>3</v>
      </c>
      <c r="E18" s="309"/>
    </row>
    <row r="19" spans="1:5" ht="5" customHeight="1">
      <c r="A19" s="309"/>
      <c r="B19" s="309"/>
      <c r="C19" s="309"/>
      <c r="D19" s="310"/>
      <c r="E19" s="309"/>
    </row>
    <row r="20" spans="1:5">
      <c r="A20" s="308" t="s">
        <v>306</v>
      </c>
      <c r="B20" s="309"/>
      <c r="C20" s="309"/>
      <c r="D20" s="310"/>
      <c r="E20" s="309"/>
    </row>
    <row r="21" spans="1:5">
      <c r="A21" s="308" t="s">
        <v>289</v>
      </c>
      <c r="B21" s="308" t="s">
        <v>290</v>
      </c>
      <c r="C21" s="308" t="s">
        <v>291</v>
      </c>
      <c r="D21" s="311" t="s">
        <v>269</v>
      </c>
      <c r="E21" s="308" t="s">
        <v>236</v>
      </c>
    </row>
    <row r="22" spans="1:5">
      <c r="A22" s="309" t="s">
        <v>271</v>
      </c>
      <c r="B22" s="309" t="s">
        <v>307</v>
      </c>
      <c r="C22" s="309" t="s">
        <v>308</v>
      </c>
      <c r="D22" s="314">
        <v>2</v>
      </c>
      <c r="E22" s="309" t="s">
        <v>309</v>
      </c>
    </row>
    <row r="23" spans="1:5">
      <c r="A23" s="309" t="s">
        <v>310</v>
      </c>
      <c r="B23" s="309" t="s">
        <v>311</v>
      </c>
      <c r="C23" s="309" t="s">
        <v>312</v>
      </c>
      <c r="D23" s="314">
        <v>1</v>
      </c>
      <c r="E23" s="309" t="s">
        <v>313</v>
      </c>
    </row>
    <row r="24" spans="1:5">
      <c r="A24" s="309" t="s">
        <v>277</v>
      </c>
      <c r="B24" s="309" t="s">
        <v>314</v>
      </c>
      <c r="C24" s="309" t="s">
        <v>315</v>
      </c>
      <c r="D24" s="314">
        <v>1.5</v>
      </c>
      <c r="E24" s="309" t="s">
        <v>276</v>
      </c>
    </row>
    <row r="25" spans="1:5">
      <c r="A25" s="309" t="s">
        <v>316</v>
      </c>
      <c r="B25" s="309" t="s">
        <v>317</v>
      </c>
      <c r="C25" s="309" t="s">
        <v>318</v>
      </c>
      <c r="D25" s="314">
        <v>0.5</v>
      </c>
      <c r="E25" s="309" t="s">
        <v>319</v>
      </c>
    </row>
    <row r="26" spans="1:5">
      <c r="A26" s="308" t="s">
        <v>320</v>
      </c>
      <c r="B26" s="309"/>
      <c r="C26" s="309"/>
      <c r="D26" s="314">
        <f>SUM(D22:D25)</f>
        <v>5</v>
      </c>
      <c r="E26" s="309"/>
    </row>
    <row r="27" spans="1:5">
      <c r="A27" s="309"/>
      <c r="B27" s="309"/>
      <c r="C27" s="309"/>
      <c r="D27" s="310"/>
      <c r="E27" s="309"/>
    </row>
    <row r="28" spans="1:5">
      <c r="A28" s="309"/>
      <c r="B28" s="309"/>
      <c r="C28" s="309"/>
      <c r="D28" s="310"/>
      <c r="E28" s="309"/>
    </row>
    <row r="29" spans="1:5">
      <c r="A29" s="308" t="s">
        <v>321</v>
      </c>
      <c r="B29" s="309"/>
      <c r="C29" s="309"/>
      <c r="D29" s="310"/>
      <c r="E29" s="309"/>
    </row>
    <row r="30" spans="1:5">
      <c r="A30" s="308" t="s">
        <v>322</v>
      </c>
      <c r="B30" s="309"/>
      <c r="C30" s="309"/>
      <c r="D30" s="311" t="s">
        <v>323</v>
      </c>
      <c r="E30" s="309"/>
    </row>
    <row r="31" spans="1:5">
      <c r="A31" s="309" t="s">
        <v>324</v>
      </c>
      <c r="B31" s="309"/>
      <c r="C31" s="309"/>
      <c r="D31" s="314">
        <f>D9</f>
        <v>4.8</v>
      </c>
      <c r="E31" s="309"/>
    </row>
    <row r="32" spans="1:5">
      <c r="A32" s="309" t="s">
        <v>325</v>
      </c>
      <c r="B32" s="309"/>
      <c r="C32" s="309"/>
      <c r="D32" s="314">
        <f>D18</f>
        <v>3</v>
      </c>
      <c r="E32" s="309"/>
    </row>
    <row r="33" spans="1:5">
      <c r="A33" s="309" t="s">
        <v>326</v>
      </c>
      <c r="B33" s="309"/>
      <c r="C33" s="309"/>
      <c r="D33" s="314">
        <f>D26</f>
        <v>5</v>
      </c>
      <c r="E33" s="309"/>
    </row>
    <row r="34" spans="1:5">
      <c r="A34" s="308" t="s">
        <v>327</v>
      </c>
      <c r="B34" s="309"/>
      <c r="C34" s="309"/>
      <c r="D34" s="314">
        <f>SUM(D31:D33)</f>
        <v>12.8</v>
      </c>
      <c r="E34" s="309"/>
    </row>
    <row r="35" spans="1:5">
      <c r="A35" s="309"/>
      <c r="B35" s="309"/>
      <c r="C35" s="309"/>
      <c r="D35" s="310"/>
      <c r="E35" s="3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933A-A545-B54F-A729-7A36F2EAB10C}">
  <dimension ref="A1:H20"/>
  <sheetViews>
    <sheetView topLeftCell="B1" zoomScale="119" workbookViewId="0">
      <selection activeCell="B3" sqref="B3:G20"/>
    </sheetView>
  </sheetViews>
  <sheetFormatPr baseColWidth="10" defaultColWidth="11.5" defaultRowHeight="15"/>
  <cols>
    <col min="2" max="2" width="31.1640625" customWidth="1"/>
    <col min="3" max="3" width="40.83203125" customWidth="1"/>
    <col min="4" max="4" width="7.83203125" customWidth="1"/>
    <col min="5" max="5" width="10.83203125" customWidth="1"/>
    <col min="6" max="6" width="16.6640625" customWidth="1"/>
    <col min="7" max="7" width="12.6640625" customWidth="1"/>
  </cols>
  <sheetData>
    <row r="1" spans="1:8" ht="24">
      <c r="A1" s="56" t="s">
        <v>328</v>
      </c>
    </row>
    <row r="3" spans="1:8" ht="31" customHeight="1">
      <c r="A3" s="62" t="s">
        <v>329</v>
      </c>
      <c r="B3" s="62" t="s">
        <v>330</v>
      </c>
      <c r="C3" s="62" t="s">
        <v>331</v>
      </c>
      <c r="D3" s="62" t="s">
        <v>332</v>
      </c>
      <c r="E3" s="62" t="s">
        <v>333</v>
      </c>
      <c r="F3" s="62" t="s">
        <v>334</v>
      </c>
    </row>
    <row r="4" spans="1:8" ht="14" customHeight="1">
      <c r="A4" s="65" t="s">
        <v>335</v>
      </c>
      <c r="B4" s="64" t="s">
        <v>336</v>
      </c>
      <c r="C4" s="64" t="s">
        <v>337</v>
      </c>
      <c r="D4" s="64" t="s">
        <v>302</v>
      </c>
      <c r="E4" s="64">
        <v>0.25</v>
      </c>
      <c r="F4" s="64" t="s">
        <v>338</v>
      </c>
      <c r="G4" s="64" t="s">
        <v>339</v>
      </c>
      <c r="H4">
        <f>6.6/30</f>
        <v>0.22</v>
      </c>
    </row>
    <row r="5" spans="1:8" ht="16">
      <c r="A5" s="64" t="s">
        <v>335</v>
      </c>
      <c r="B5" s="64" t="s">
        <v>340</v>
      </c>
      <c r="C5" s="64" t="s">
        <v>341</v>
      </c>
      <c r="D5" s="64" t="s">
        <v>342</v>
      </c>
      <c r="E5" s="64">
        <v>0.15</v>
      </c>
      <c r="F5" s="64" t="s">
        <v>343</v>
      </c>
    </row>
    <row r="6" spans="1:8" ht="16">
      <c r="A6" s="64" t="s">
        <v>335</v>
      </c>
      <c r="B6" s="64" t="s">
        <v>344</v>
      </c>
      <c r="C6" s="64" t="s">
        <v>345</v>
      </c>
      <c r="D6" s="64" t="s">
        <v>302</v>
      </c>
      <c r="E6" s="64">
        <v>0.1</v>
      </c>
      <c r="F6" s="64" t="s">
        <v>346</v>
      </c>
    </row>
    <row r="7" spans="1:8" ht="16">
      <c r="A7" s="64" t="s">
        <v>335</v>
      </c>
      <c r="B7" s="64" t="s">
        <v>347</v>
      </c>
      <c r="C7" s="64" t="s">
        <v>348</v>
      </c>
      <c r="D7" s="64" t="s">
        <v>302</v>
      </c>
      <c r="E7" s="64">
        <v>0.08</v>
      </c>
      <c r="F7" s="64" t="s">
        <v>349</v>
      </c>
    </row>
    <row r="8" spans="1:8" ht="16">
      <c r="A8" s="64" t="s">
        <v>335</v>
      </c>
      <c r="B8" s="64" t="s">
        <v>350</v>
      </c>
      <c r="C8" s="64" t="s">
        <v>351</v>
      </c>
      <c r="D8" s="64" t="s">
        <v>302</v>
      </c>
      <c r="E8" s="64">
        <v>0.1</v>
      </c>
      <c r="F8" s="64" t="s">
        <v>352</v>
      </c>
    </row>
    <row r="9" spans="1:8" ht="16">
      <c r="A9" s="64" t="s">
        <v>335</v>
      </c>
      <c r="B9" s="64" t="s">
        <v>353</v>
      </c>
      <c r="C9" s="64" t="s">
        <v>354</v>
      </c>
      <c r="D9" s="64" t="s">
        <v>302</v>
      </c>
      <c r="E9" s="64">
        <v>7.0000000000000007E-2</v>
      </c>
      <c r="F9" s="64" t="s">
        <v>355</v>
      </c>
    </row>
    <row r="10" spans="1:8" ht="16">
      <c r="A10" s="64" t="s">
        <v>335</v>
      </c>
      <c r="B10" s="64" t="s">
        <v>356</v>
      </c>
      <c r="C10" s="64" t="s">
        <v>357</v>
      </c>
      <c r="D10" s="64" t="s">
        <v>302</v>
      </c>
      <c r="E10" s="64">
        <v>0.05</v>
      </c>
      <c r="F10" s="64" t="s">
        <v>358</v>
      </c>
    </row>
    <row r="11" spans="1:8" ht="32">
      <c r="A11" s="65" t="s">
        <v>359</v>
      </c>
      <c r="B11" s="64" t="s">
        <v>360</v>
      </c>
      <c r="C11" s="64" t="s">
        <v>361</v>
      </c>
      <c r="D11" s="64" t="s">
        <v>302</v>
      </c>
      <c r="E11" s="64">
        <v>0.35</v>
      </c>
      <c r="F11" s="64" t="s">
        <v>362</v>
      </c>
    </row>
    <row r="12" spans="1:8" ht="16">
      <c r="A12" s="64" t="s">
        <v>363</v>
      </c>
      <c r="B12" s="64" t="s">
        <v>364</v>
      </c>
      <c r="C12" s="64" t="s">
        <v>365</v>
      </c>
      <c r="D12" s="64" t="s">
        <v>302</v>
      </c>
      <c r="E12" s="64">
        <v>0.2</v>
      </c>
      <c r="F12" s="64" t="s">
        <v>366</v>
      </c>
    </row>
    <row r="13" spans="1:8" ht="16">
      <c r="A13" s="64" t="s">
        <v>363</v>
      </c>
      <c r="B13" s="64" t="s">
        <v>367</v>
      </c>
      <c r="C13" s="64" t="s">
        <v>368</v>
      </c>
      <c r="D13" s="64" t="s">
        <v>302</v>
      </c>
      <c r="E13" s="64">
        <v>0.1</v>
      </c>
      <c r="F13" s="64" t="s">
        <v>369</v>
      </c>
    </row>
    <row r="14" spans="1:8" ht="16">
      <c r="A14" s="64" t="s">
        <v>363</v>
      </c>
      <c r="B14" s="64" t="s">
        <v>370</v>
      </c>
      <c r="C14" s="64" t="s">
        <v>371</v>
      </c>
      <c r="D14" s="64" t="s">
        <v>302</v>
      </c>
      <c r="E14" s="64">
        <v>0.05</v>
      </c>
      <c r="F14" s="64" t="s">
        <v>372</v>
      </c>
    </row>
    <row r="15" spans="1:8" ht="32">
      <c r="A15" s="64" t="s">
        <v>363</v>
      </c>
      <c r="B15" s="64" t="s">
        <v>373</v>
      </c>
      <c r="C15" s="64" t="s">
        <v>374</v>
      </c>
      <c r="D15" s="64" t="s">
        <v>302</v>
      </c>
      <c r="E15" s="64">
        <v>0.08</v>
      </c>
      <c r="F15" s="64" t="s">
        <v>375</v>
      </c>
    </row>
    <row r="16" spans="1:8" ht="32">
      <c r="A16" s="65" t="s">
        <v>376</v>
      </c>
      <c r="B16" s="64" t="s">
        <v>285</v>
      </c>
      <c r="C16" s="64" t="s">
        <v>377</v>
      </c>
      <c r="D16" s="64" t="s">
        <v>302</v>
      </c>
      <c r="E16" s="64">
        <v>0.1</v>
      </c>
      <c r="F16" s="64" t="s">
        <v>378</v>
      </c>
    </row>
    <row r="17" spans="1:6" ht="16">
      <c r="A17" s="64" t="s">
        <v>379</v>
      </c>
      <c r="B17" s="64" t="s">
        <v>380</v>
      </c>
      <c r="C17" s="64" t="s">
        <v>381</v>
      </c>
      <c r="D17" s="64" t="s">
        <v>302</v>
      </c>
      <c r="E17" s="64">
        <v>0.12</v>
      </c>
      <c r="F17" s="64" t="s">
        <v>382</v>
      </c>
    </row>
    <row r="18" spans="1:6" ht="16">
      <c r="A18" s="64" t="s">
        <v>379</v>
      </c>
      <c r="B18" s="64" t="s">
        <v>383</v>
      </c>
      <c r="C18" s="64" t="s">
        <v>384</v>
      </c>
      <c r="D18" s="64" t="s">
        <v>302</v>
      </c>
      <c r="E18" s="64">
        <v>0.08</v>
      </c>
      <c r="F18" s="64" t="s">
        <v>313</v>
      </c>
    </row>
    <row r="19" spans="1:6" ht="16">
      <c r="A19" s="65" t="s">
        <v>385</v>
      </c>
      <c r="B19" s="64" t="s">
        <v>386</v>
      </c>
      <c r="C19" s="64" t="s">
        <v>387</v>
      </c>
      <c r="D19" s="64" t="s">
        <v>388</v>
      </c>
      <c r="E19" s="64">
        <v>0.15</v>
      </c>
      <c r="F19" s="64" t="s">
        <v>389</v>
      </c>
    </row>
    <row r="20" spans="1:6" ht="16" customHeight="1">
      <c r="B20" s="522" t="s">
        <v>264</v>
      </c>
      <c r="C20" s="522"/>
      <c r="E20" s="44">
        <f>SUM(E4:E19)</f>
        <v>2.0300000000000002</v>
      </c>
    </row>
  </sheetData>
  <mergeCells count="1">
    <mergeCell ref="B20:C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4FA6-4C7C-EB40-9DD8-50C298B4BEB9}">
  <dimension ref="A1:G27"/>
  <sheetViews>
    <sheetView workbookViewId="0">
      <selection activeCell="A5" sqref="A5:B5"/>
    </sheetView>
  </sheetViews>
  <sheetFormatPr baseColWidth="10" defaultColWidth="10.83203125" defaultRowHeight="16"/>
  <cols>
    <col min="1" max="1" width="38.6640625" style="60" customWidth="1"/>
    <col min="2" max="2" width="40.83203125" style="60" customWidth="1"/>
    <col min="3" max="3" width="21.1640625" style="60" customWidth="1"/>
    <col min="4" max="4" width="55.83203125" style="60" customWidth="1"/>
    <col min="5" max="5" width="19.1640625" style="60" customWidth="1"/>
    <col min="6" max="6" width="10.83203125" style="60"/>
    <col min="7" max="7" width="14.33203125" style="60" customWidth="1"/>
    <col min="8" max="16384" width="10.83203125" style="60"/>
  </cols>
  <sheetData>
    <row r="1" spans="1:7">
      <c r="A1" s="523" t="s">
        <v>390</v>
      </c>
      <c r="B1" s="523"/>
      <c r="C1" s="523"/>
      <c r="D1" s="523"/>
      <c r="E1" s="523"/>
    </row>
    <row r="2" spans="1:7" ht="40" customHeight="1">
      <c r="A2" s="315" t="s">
        <v>391</v>
      </c>
      <c r="B2" s="315" t="s">
        <v>392</v>
      </c>
      <c r="C2" s="294" t="s">
        <v>393</v>
      </c>
      <c r="D2" s="315" t="s">
        <v>394</v>
      </c>
      <c r="E2" s="316" t="s">
        <v>395</v>
      </c>
      <c r="F2" s="315" t="s">
        <v>396</v>
      </c>
      <c r="G2" s="315" t="s">
        <v>397</v>
      </c>
    </row>
    <row r="3" spans="1:7" ht="34">
      <c r="A3" s="294" t="s">
        <v>398</v>
      </c>
      <c r="B3" s="317" t="s">
        <v>286</v>
      </c>
      <c r="C3" s="318">
        <v>2.75</v>
      </c>
      <c r="D3" s="295" t="s">
        <v>399</v>
      </c>
      <c r="E3" s="295" t="s">
        <v>400</v>
      </c>
      <c r="F3" s="317" t="s">
        <v>401</v>
      </c>
      <c r="G3" s="317" t="s">
        <v>402</v>
      </c>
    </row>
    <row r="4" spans="1:7" ht="34">
      <c r="A4" s="294" t="s">
        <v>403</v>
      </c>
      <c r="B4" s="317" t="s">
        <v>404</v>
      </c>
      <c r="C4" s="318">
        <v>0.6</v>
      </c>
      <c r="D4" s="295" t="s">
        <v>405</v>
      </c>
      <c r="E4" s="295" t="s">
        <v>406</v>
      </c>
      <c r="F4" s="317" t="s">
        <v>24</v>
      </c>
      <c r="G4" s="317"/>
    </row>
    <row r="5" spans="1:7" ht="51">
      <c r="A5" s="294" t="s">
        <v>407</v>
      </c>
      <c r="B5" s="317" t="s">
        <v>97</v>
      </c>
      <c r="C5" s="318">
        <v>5.3</v>
      </c>
      <c r="D5" s="295" t="s">
        <v>408</v>
      </c>
      <c r="E5" s="295" t="s">
        <v>409</v>
      </c>
      <c r="F5" s="317" t="s">
        <v>401</v>
      </c>
      <c r="G5" s="317"/>
    </row>
    <row r="6" spans="1:7" ht="34">
      <c r="A6" s="294" t="s">
        <v>410</v>
      </c>
      <c r="B6" s="317" t="s">
        <v>411</v>
      </c>
      <c r="C6" s="318"/>
      <c r="D6" s="295" t="s">
        <v>412</v>
      </c>
      <c r="E6" s="295" t="s">
        <v>413</v>
      </c>
      <c r="F6" s="317"/>
      <c r="G6" s="317"/>
    </row>
    <row r="7" spans="1:7" ht="34">
      <c r="A7" s="294" t="s">
        <v>414</v>
      </c>
      <c r="B7" s="317" t="s">
        <v>415</v>
      </c>
      <c r="C7" s="318">
        <v>1.5</v>
      </c>
      <c r="D7" s="295" t="s">
        <v>416</v>
      </c>
      <c r="E7" s="295" t="s">
        <v>417</v>
      </c>
      <c r="F7" s="317" t="s">
        <v>418</v>
      </c>
      <c r="G7" s="317"/>
    </row>
    <row r="8" spans="1:7" ht="34">
      <c r="A8" s="294" t="s">
        <v>419</v>
      </c>
      <c r="B8" s="317" t="s">
        <v>420</v>
      </c>
      <c r="C8" s="318"/>
      <c r="D8" s="295" t="s">
        <v>421</v>
      </c>
      <c r="E8" s="295" t="s">
        <v>422</v>
      </c>
      <c r="F8" s="317"/>
      <c r="G8" s="317"/>
    </row>
    <row r="9" spans="1:7" ht="48" customHeight="1">
      <c r="A9" s="315" t="s">
        <v>423</v>
      </c>
      <c r="B9" s="317"/>
      <c r="C9" s="318">
        <f>SUM(C3:C8)</f>
        <v>10.15</v>
      </c>
      <c r="D9" s="319" t="s">
        <v>424</v>
      </c>
      <c r="E9" s="295"/>
      <c r="F9" s="317"/>
      <c r="G9" s="317"/>
    </row>
    <row r="10" spans="1:7">
      <c r="E10" s="57"/>
    </row>
    <row r="14" spans="1:7">
      <c r="E14" s="57"/>
    </row>
    <row r="15" spans="1:7">
      <c r="B15" s="58"/>
      <c r="C15" s="57"/>
      <c r="D15" s="57"/>
      <c r="E15" s="57"/>
      <c r="F15" s="58"/>
      <c r="G15" s="57"/>
    </row>
    <row r="16" spans="1:7">
      <c r="B16" s="59"/>
      <c r="C16" s="57"/>
      <c r="D16" s="57"/>
      <c r="E16" s="57"/>
      <c r="F16" s="58"/>
      <c r="G16" s="59"/>
    </row>
    <row r="17" spans="2:7">
      <c r="B17" s="58"/>
      <c r="C17" s="57"/>
      <c r="D17" s="57"/>
      <c r="E17" s="57"/>
      <c r="F17" s="58"/>
      <c r="G17" s="57"/>
    </row>
    <row r="18" spans="2:7">
      <c r="B18" s="59"/>
      <c r="C18" s="57"/>
      <c r="D18" s="57"/>
      <c r="E18" s="57"/>
      <c r="F18" s="58"/>
      <c r="G18" s="59"/>
    </row>
    <row r="19" spans="2:7">
      <c r="B19" s="58"/>
      <c r="C19" s="57"/>
      <c r="D19" s="57"/>
      <c r="E19" s="57"/>
      <c r="F19" s="58"/>
      <c r="G19" s="57"/>
    </row>
    <row r="20" spans="2:7">
      <c r="B20" s="59"/>
      <c r="C20" s="57"/>
      <c r="D20" s="57"/>
      <c r="E20" s="57"/>
      <c r="F20" s="58"/>
      <c r="G20" s="59"/>
    </row>
    <row r="21" spans="2:7">
      <c r="B21" s="58"/>
      <c r="C21" s="57"/>
      <c r="D21" s="57"/>
      <c r="E21" s="57"/>
      <c r="F21" s="58"/>
      <c r="G21" s="57"/>
    </row>
    <row r="22" spans="2:7">
      <c r="B22" s="59"/>
      <c r="C22" s="57"/>
      <c r="D22" s="57"/>
      <c r="E22" s="57"/>
      <c r="F22" s="58"/>
      <c r="G22" s="59"/>
    </row>
    <row r="23" spans="2:7">
      <c r="B23" s="58"/>
      <c r="C23" s="57"/>
      <c r="D23" s="57"/>
      <c r="E23" s="57"/>
      <c r="F23" s="58"/>
      <c r="G23" s="57"/>
    </row>
    <row r="24" spans="2:7">
      <c r="B24" s="59"/>
      <c r="C24" s="57"/>
      <c r="D24" s="57"/>
      <c r="E24" s="57"/>
      <c r="F24" s="58"/>
      <c r="G24" s="59"/>
    </row>
    <row r="25" spans="2:7">
      <c r="B25" s="58"/>
      <c r="C25" s="57"/>
      <c r="D25" s="57"/>
      <c r="E25" s="57"/>
      <c r="F25" s="58"/>
      <c r="G25" s="57"/>
    </row>
    <row r="26" spans="2:7">
      <c r="B26" s="59"/>
      <c r="C26" s="57"/>
      <c r="D26" s="57"/>
      <c r="E26" s="57"/>
      <c r="F26" s="58"/>
      <c r="G26" s="59"/>
    </row>
    <row r="27" spans="2:7">
      <c r="B27" s="58"/>
      <c r="C27" s="57"/>
      <c r="D27" s="57"/>
      <c r="E27" s="57"/>
      <c r="F27" s="57"/>
      <c r="G27" s="57"/>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2297-A28D-CB40-81E3-3F2ACEA6F0F4}">
  <dimension ref="A1:F13"/>
  <sheetViews>
    <sheetView workbookViewId="0">
      <selection activeCell="A3" sqref="A3:A5"/>
    </sheetView>
  </sheetViews>
  <sheetFormatPr baseColWidth="10" defaultColWidth="10.83203125" defaultRowHeight="16"/>
  <cols>
    <col min="1" max="1" width="34.1640625" style="57" customWidth="1"/>
    <col min="2" max="2" width="41" style="57" customWidth="1"/>
    <col min="3" max="3" width="17.83203125" style="57" customWidth="1"/>
    <col min="4" max="4" width="31.33203125" style="57" customWidth="1"/>
    <col min="5" max="5" width="37.5" style="57" customWidth="1"/>
    <col min="6" max="6" width="41" style="57" customWidth="1"/>
    <col min="7" max="16384" width="10.83203125" style="57"/>
  </cols>
  <sheetData>
    <row r="1" spans="1:6">
      <c r="A1" s="524" t="s">
        <v>425</v>
      </c>
      <c r="B1" s="525"/>
      <c r="C1" s="525"/>
      <c r="D1" s="525"/>
      <c r="E1" s="320"/>
      <c r="F1" s="320"/>
    </row>
    <row r="2" spans="1:6" s="61" customFormat="1" ht="48">
      <c r="A2" s="321" t="s">
        <v>426</v>
      </c>
      <c r="B2" s="322" t="s">
        <v>394</v>
      </c>
      <c r="C2" s="323" t="s">
        <v>427</v>
      </c>
      <c r="D2" s="323" t="s">
        <v>395</v>
      </c>
      <c r="E2" s="323" t="s">
        <v>428</v>
      </c>
    </row>
    <row r="3" spans="1:6" ht="47" customHeight="1">
      <c r="A3" s="321" t="s">
        <v>429</v>
      </c>
      <c r="B3" s="324" t="s">
        <v>430</v>
      </c>
      <c r="C3" s="325">
        <v>1.8</v>
      </c>
      <c r="D3" s="326" t="s">
        <v>431</v>
      </c>
      <c r="E3" s="324" t="s">
        <v>432</v>
      </c>
    </row>
    <row r="4" spans="1:6" ht="34">
      <c r="A4" s="321" t="s">
        <v>433</v>
      </c>
      <c r="B4" s="324" t="s">
        <v>434</v>
      </c>
      <c r="C4" s="325">
        <v>0.6</v>
      </c>
      <c r="D4" s="327" t="s">
        <v>435</v>
      </c>
      <c r="E4" s="326" t="s">
        <v>436</v>
      </c>
    </row>
    <row r="5" spans="1:6" ht="51">
      <c r="A5" s="321" t="s">
        <v>437</v>
      </c>
      <c r="B5" s="324" t="s">
        <v>438</v>
      </c>
      <c r="C5" s="325">
        <v>1</v>
      </c>
      <c r="D5" s="328" t="s">
        <v>439</v>
      </c>
      <c r="E5" s="324" t="s">
        <v>440</v>
      </c>
    </row>
    <row r="6" spans="1:6" ht="34">
      <c r="A6" s="321" t="s">
        <v>441</v>
      </c>
      <c r="B6" s="324" t="s">
        <v>442</v>
      </c>
      <c r="C6" s="325">
        <v>1</v>
      </c>
      <c r="D6" s="327" t="s">
        <v>443</v>
      </c>
      <c r="E6" s="326" t="s">
        <v>444</v>
      </c>
    </row>
    <row r="7" spans="1:6" ht="34">
      <c r="A7" s="321" t="s">
        <v>445</v>
      </c>
      <c r="B7" s="324" t="s">
        <v>446</v>
      </c>
      <c r="C7" s="325">
        <v>0.3</v>
      </c>
      <c r="D7" s="328" t="s">
        <v>447</v>
      </c>
      <c r="E7" s="326" t="s">
        <v>448</v>
      </c>
    </row>
    <row r="8" spans="1:6" ht="34">
      <c r="A8" s="321" t="s">
        <v>449</v>
      </c>
      <c r="B8" s="324" t="s">
        <v>450</v>
      </c>
      <c r="C8" s="325"/>
      <c r="D8" s="328" t="s">
        <v>451</v>
      </c>
      <c r="E8" s="324" t="s">
        <v>452</v>
      </c>
    </row>
    <row r="9" spans="1:6" ht="35" customHeight="1">
      <c r="A9" s="321" t="s">
        <v>286</v>
      </c>
      <c r="B9" s="329" t="s">
        <v>453</v>
      </c>
      <c r="C9" s="330"/>
      <c r="D9" s="328"/>
      <c r="E9" s="331"/>
    </row>
    <row r="10" spans="1:6" ht="17">
      <c r="A10" s="321" t="s">
        <v>454</v>
      </c>
      <c r="B10" s="326"/>
      <c r="C10" s="330">
        <f>SUM(C3:C9)</f>
        <v>4.7</v>
      </c>
      <c r="D10" s="326"/>
      <c r="E10" s="326"/>
    </row>
    <row r="13" spans="1:6">
      <c r="D13" s="66"/>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2DB7-625B-8542-8481-FA289BF833A2}">
  <dimension ref="A1:I35"/>
  <sheetViews>
    <sheetView topLeftCell="A12" workbookViewId="0">
      <selection activeCell="A36" sqref="A36"/>
    </sheetView>
  </sheetViews>
  <sheetFormatPr baseColWidth="10" defaultColWidth="8.83203125" defaultRowHeight="15"/>
  <cols>
    <col min="1" max="1" width="17.5" bestFit="1" customWidth="1"/>
    <col min="2" max="2" width="23.83203125" customWidth="1"/>
    <col min="3" max="3" width="34.5" customWidth="1"/>
    <col min="4" max="4" width="17.83203125" customWidth="1"/>
    <col min="5" max="5" width="8.5" customWidth="1"/>
    <col min="6" max="6" width="15" customWidth="1"/>
    <col min="7" max="7" width="18" customWidth="1"/>
    <col min="8" max="8" width="15" customWidth="1"/>
    <col min="9" max="9" width="20" customWidth="1"/>
  </cols>
  <sheetData>
    <row r="1" spans="1:9" ht="19">
      <c r="A1" s="526" t="s">
        <v>455</v>
      </c>
      <c r="B1" s="508"/>
      <c r="C1" s="508"/>
      <c r="D1" s="508"/>
      <c r="E1" s="508"/>
      <c r="F1" s="508"/>
      <c r="G1" s="508"/>
      <c r="H1" s="508"/>
      <c r="I1" s="508"/>
    </row>
    <row r="3" spans="1:9">
      <c r="A3" t="s">
        <v>456</v>
      </c>
      <c r="C3" s="68" t="s">
        <v>457</v>
      </c>
    </row>
    <row r="4" spans="1:9">
      <c r="A4" s="508" t="s">
        <v>458</v>
      </c>
      <c r="B4" s="508"/>
      <c r="C4" s="508"/>
      <c r="D4" s="508"/>
      <c r="E4" s="508"/>
      <c r="F4" s="508"/>
      <c r="G4" s="508"/>
      <c r="I4" s="69" t="s">
        <v>459</v>
      </c>
    </row>
    <row r="5" spans="1:9" ht="48">
      <c r="A5" s="332" t="s">
        <v>460</v>
      </c>
      <c r="B5" s="332" t="s">
        <v>461</v>
      </c>
      <c r="C5" s="332" t="s">
        <v>462</v>
      </c>
      <c r="D5" s="332" t="s">
        <v>463</v>
      </c>
      <c r="E5" s="332" t="s">
        <v>464</v>
      </c>
      <c r="F5" s="332" t="s">
        <v>465</v>
      </c>
      <c r="G5" s="332" t="s">
        <v>466</v>
      </c>
      <c r="H5" s="332" t="s">
        <v>467</v>
      </c>
      <c r="I5" s="332" t="s">
        <v>468</v>
      </c>
    </row>
    <row r="6" spans="1:9" ht="128">
      <c r="A6" s="333">
        <v>1</v>
      </c>
      <c r="B6" s="333" t="s">
        <v>469</v>
      </c>
      <c r="C6" s="334" t="s">
        <v>470</v>
      </c>
      <c r="D6" s="334" t="s">
        <v>471</v>
      </c>
      <c r="E6" s="333">
        <v>1</v>
      </c>
      <c r="F6" s="335">
        <v>500000000</v>
      </c>
      <c r="G6" s="335">
        <v>500000000</v>
      </c>
      <c r="H6" s="335">
        <v>50000000</v>
      </c>
      <c r="I6" s="335">
        <v>550000000</v>
      </c>
    </row>
    <row r="7" spans="1:9" ht="96">
      <c r="A7" s="333">
        <v>2</v>
      </c>
      <c r="B7" s="333" t="s">
        <v>472</v>
      </c>
      <c r="C7" s="334" t="s">
        <v>473</v>
      </c>
      <c r="D7" s="334" t="s">
        <v>474</v>
      </c>
      <c r="E7" s="333">
        <v>12.5</v>
      </c>
      <c r="F7" s="335">
        <v>8000000</v>
      </c>
      <c r="G7" s="335">
        <v>100000000</v>
      </c>
      <c r="H7" s="335">
        <v>10000000</v>
      </c>
      <c r="I7" s="335">
        <v>110000000</v>
      </c>
    </row>
    <row r="8" spans="1:9" ht="96">
      <c r="A8" s="333">
        <v>3</v>
      </c>
      <c r="B8" s="333" t="s">
        <v>475</v>
      </c>
      <c r="C8" s="334" t="s">
        <v>476</v>
      </c>
      <c r="D8" s="334" t="s">
        <v>477</v>
      </c>
      <c r="E8" s="333">
        <v>8</v>
      </c>
      <c r="F8" s="335">
        <v>5000000</v>
      </c>
      <c r="G8" s="335">
        <v>40000000</v>
      </c>
      <c r="H8" s="335">
        <v>4000000</v>
      </c>
      <c r="I8" s="335">
        <v>44000000</v>
      </c>
    </row>
    <row r="9" spans="1:9" ht="144">
      <c r="A9" s="333">
        <v>4</v>
      </c>
      <c r="B9" s="333" t="s">
        <v>478</v>
      </c>
      <c r="C9" s="334" t="s">
        <v>479</v>
      </c>
      <c r="D9" s="334" t="s">
        <v>480</v>
      </c>
      <c r="E9" s="333">
        <v>25</v>
      </c>
      <c r="F9" s="335">
        <v>7200000</v>
      </c>
      <c r="G9" s="335">
        <v>180000000</v>
      </c>
      <c r="H9" s="335">
        <v>18000000</v>
      </c>
      <c r="I9" s="335">
        <v>198000000</v>
      </c>
    </row>
    <row r="10" spans="1:9" ht="96">
      <c r="A10" s="333">
        <v>5</v>
      </c>
      <c r="B10" s="333" t="s">
        <v>481</v>
      </c>
      <c r="C10" s="334" t="s">
        <v>482</v>
      </c>
      <c r="D10" s="334" t="s">
        <v>483</v>
      </c>
      <c r="E10" s="333">
        <v>10</v>
      </c>
      <c r="F10" s="335">
        <v>5000000</v>
      </c>
      <c r="G10" s="335">
        <v>50000000</v>
      </c>
      <c r="H10" s="335">
        <v>5000000</v>
      </c>
      <c r="I10" s="335">
        <v>55000000</v>
      </c>
    </row>
    <row r="11" spans="1:9" ht="96">
      <c r="A11" s="333">
        <v>6</v>
      </c>
      <c r="B11" s="333" t="s">
        <v>484</v>
      </c>
      <c r="C11" s="334" t="s">
        <v>485</v>
      </c>
      <c r="D11" s="334" t="s">
        <v>486</v>
      </c>
      <c r="E11" s="333">
        <v>6</v>
      </c>
      <c r="F11" s="335">
        <v>5000000</v>
      </c>
      <c r="G11" s="335">
        <v>30000000</v>
      </c>
      <c r="H11" s="335">
        <v>3000000</v>
      </c>
      <c r="I11" s="335">
        <v>33000000</v>
      </c>
    </row>
    <row r="12" spans="1:9" ht="96">
      <c r="A12" s="333">
        <v>7</v>
      </c>
      <c r="B12" s="333" t="s">
        <v>487</v>
      </c>
      <c r="C12" s="334" t="s">
        <v>488</v>
      </c>
      <c r="D12" s="334" t="s">
        <v>489</v>
      </c>
      <c r="E12" s="333">
        <v>8</v>
      </c>
      <c r="F12" s="335">
        <v>5000000</v>
      </c>
      <c r="G12" s="335">
        <v>40000000</v>
      </c>
      <c r="H12" s="335">
        <v>4000000</v>
      </c>
      <c r="I12" s="335">
        <v>44000000</v>
      </c>
    </row>
    <row r="13" spans="1:9" ht="64">
      <c r="A13" s="333">
        <v>8</v>
      </c>
      <c r="B13" s="333" t="s">
        <v>490</v>
      </c>
      <c r="C13" s="334" t="s">
        <v>491</v>
      </c>
      <c r="D13" s="334" t="s">
        <v>492</v>
      </c>
      <c r="E13" s="333">
        <v>5</v>
      </c>
      <c r="F13" s="335">
        <v>4000000</v>
      </c>
      <c r="G13" s="335">
        <v>20000000</v>
      </c>
      <c r="H13" s="335">
        <v>2000000</v>
      </c>
      <c r="I13" s="335">
        <v>22000000</v>
      </c>
    </row>
    <row r="14" spans="1:9" ht="64">
      <c r="A14" s="333">
        <v>9</v>
      </c>
      <c r="B14" s="333" t="s">
        <v>493</v>
      </c>
      <c r="C14" s="334" t="s">
        <v>494</v>
      </c>
      <c r="D14" s="334" t="s">
        <v>495</v>
      </c>
      <c r="E14" s="333">
        <v>12</v>
      </c>
      <c r="F14" s="335">
        <v>10909090</v>
      </c>
      <c r="G14" s="335">
        <v>130909080</v>
      </c>
      <c r="H14" s="335">
        <v>13090908</v>
      </c>
      <c r="I14" s="335">
        <v>143999988</v>
      </c>
    </row>
    <row r="15" spans="1:9">
      <c r="A15" s="527" t="s">
        <v>496</v>
      </c>
      <c r="B15" s="528"/>
      <c r="C15" s="528"/>
      <c r="D15" s="528"/>
      <c r="E15" s="528"/>
      <c r="F15" s="529"/>
      <c r="G15" s="336">
        <v>1090909080</v>
      </c>
      <c r="H15" s="336">
        <v>109090908</v>
      </c>
      <c r="I15" s="337">
        <v>1199999988</v>
      </c>
    </row>
    <row r="18" spans="1:6" ht="24">
      <c r="A18" s="56" t="s">
        <v>497</v>
      </c>
    </row>
    <row r="20" spans="1:6">
      <c r="A20" s="44" t="s">
        <v>498</v>
      </c>
    </row>
    <row r="22" spans="1:6">
      <c r="A22" s="44" t="s">
        <v>499</v>
      </c>
      <c r="B22" s="44" t="s">
        <v>500</v>
      </c>
      <c r="C22" s="44" t="s">
        <v>501</v>
      </c>
      <c r="D22" s="44" t="s">
        <v>502</v>
      </c>
      <c r="E22" s="44" t="s">
        <v>503</v>
      </c>
      <c r="F22" s="44" t="s">
        <v>504</v>
      </c>
    </row>
    <row r="23" spans="1:6">
      <c r="A23" s="44" t="s">
        <v>505</v>
      </c>
      <c r="B23" s="45" t="s">
        <v>506</v>
      </c>
      <c r="C23" s="45" t="s">
        <v>507</v>
      </c>
      <c r="D23" s="45" t="s">
        <v>302</v>
      </c>
      <c r="E23" s="44">
        <v>0.8</v>
      </c>
      <c r="F23" s="45" t="s">
        <v>508</v>
      </c>
    </row>
    <row r="24" spans="1:6">
      <c r="B24" s="45" t="s">
        <v>509</v>
      </c>
      <c r="C24" s="45" t="s">
        <v>510</v>
      </c>
      <c r="D24" s="45" t="s">
        <v>302</v>
      </c>
      <c r="E24" s="44">
        <v>0.5</v>
      </c>
      <c r="F24" s="45" t="s">
        <v>511</v>
      </c>
    </row>
    <row r="25" spans="1:6">
      <c r="A25" s="44" t="s">
        <v>512</v>
      </c>
      <c r="B25" s="45" t="s">
        <v>513</v>
      </c>
      <c r="C25" s="45" t="s">
        <v>514</v>
      </c>
      <c r="D25" s="45" t="s">
        <v>302</v>
      </c>
      <c r="E25" s="44">
        <v>0.6</v>
      </c>
      <c r="F25" s="45" t="s">
        <v>515</v>
      </c>
    </row>
    <row r="26" spans="1:6">
      <c r="B26" s="45" t="s">
        <v>516</v>
      </c>
      <c r="C26" s="45" t="s">
        <v>517</v>
      </c>
      <c r="D26" s="45" t="s">
        <v>518</v>
      </c>
      <c r="E26" s="44">
        <v>0.2</v>
      </c>
      <c r="F26" s="45" t="s">
        <v>519</v>
      </c>
    </row>
    <row r="27" spans="1:6">
      <c r="A27" s="44" t="s">
        <v>520</v>
      </c>
      <c r="B27" s="45" t="s">
        <v>521</v>
      </c>
      <c r="C27" s="45" t="s">
        <v>522</v>
      </c>
      <c r="D27" s="45" t="s">
        <v>282</v>
      </c>
      <c r="E27" s="44">
        <v>0.6</v>
      </c>
      <c r="F27" s="45" t="s">
        <v>523</v>
      </c>
    </row>
    <row r="28" spans="1:6">
      <c r="B28" s="45" t="s">
        <v>524</v>
      </c>
      <c r="C28" s="45" t="s">
        <v>525</v>
      </c>
      <c r="D28" s="45" t="s">
        <v>526</v>
      </c>
      <c r="E28" s="44">
        <v>0.5</v>
      </c>
      <c r="F28" s="45" t="s">
        <v>527</v>
      </c>
    </row>
    <row r="29" spans="1:6">
      <c r="A29" s="44" t="s">
        <v>528</v>
      </c>
      <c r="B29" s="45" t="s">
        <v>529</v>
      </c>
      <c r="C29" s="45" t="s">
        <v>530</v>
      </c>
      <c r="D29" s="45" t="s">
        <v>281</v>
      </c>
      <c r="E29" s="44">
        <v>0.7</v>
      </c>
      <c r="F29" s="45" t="s">
        <v>531</v>
      </c>
    </row>
    <row r="30" spans="1:6">
      <c r="B30" s="45" t="s">
        <v>532</v>
      </c>
      <c r="C30" s="45" t="s">
        <v>533</v>
      </c>
      <c r="D30" s="45" t="s">
        <v>518</v>
      </c>
      <c r="E30" s="44">
        <v>0.2</v>
      </c>
      <c r="F30" s="45" t="s">
        <v>534</v>
      </c>
    </row>
    <row r="31" spans="1:6">
      <c r="B31" s="45" t="s">
        <v>535</v>
      </c>
      <c r="C31" s="45" t="s">
        <v>536</v>
      </c>
      <c r="D31" s="45" t="s">
        <v>302</v>
      </c>
      <c r="E31" s="44">
        <v>0.6</v>
      </c>
      <c r="F31" s="45" t="s">
        <v>537</v>
      </c>
    </row>
    <row r="32" spans="1:6">
      <c r="B32" s="45" t="s">
        <v>538</v>
      </c>
      <c r="C32" s="45" t="s">
        <v>539</v>
      </c>
      <c r="D32" s="45" t="s">
        <v>302</v>
      </c>
      <c r="E32" s="44">
        <v>0.3</v>
      </c>
      <c r="F32" s="45" t="s">
        <v>540</v>
      </c>
    </row>
    <row r="33" spans="1:6">
      <c r="A33" s="44" t="s">
        <v>541</v>
      </c>
      <c r="B33" s="45" t="s">
        <v>542</v>
      </c>
      <c r="C33" s="45" t="s">
        <v>543</v>
      </c>
      <c r="D33" s="45" t="s">
        <v>281</v>
      </c>
      <c r="E33" s="44">
        <v>0.4</v>
      </c>
      <c r="F33" s="45" t="s">
        <v>544</v>
      </c>
    </row>
    <row r="34" spans="1:6">
      <c r="B34" s="45" t="s">
        <v>545</v>
      </c>
      <c r="C34" s="45" t="s">
        <v>546</v>
      </c>
      <c r="D34" s="45" t="s">
        <v>547</v>
      </c>
      <c r="E34" s="44">
        <v>0.2</v>
      </c>
      <c r="F34" s="45" t="s">
        <v>548</v>
      </c>
    </row>
    <row r="35" spans="1:6">
      <c r="A35" s="45" t="s">
        <v>264</v>
      </c>
      <c r="E35" s="44">
        <f>SUM(E23:E34)</f>
        <v>5.6000000000000005</v>
      </c>
    </row>
  </sheetData>
  <mergeCells count="3">
    <mergeCell ref="A1:I1"/>
    <mergeCell ref="A4:G4"/>
    <mergeCell ref="A15:F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F9D8-BC01-5F49-8755-3CD2FFE1965B}">
  <dimension ref="A1:K38"/>
  <sheetViews>
    <sheetView topLeftCell="B19" workbookViewId="0">
      <selection activeCell="B39" sqref="B39"/>
    </sheetView>
  </sheetViews>
  <sheetFormatPr baseColWidth="10" defaultColWidth="9.1640625" defaultRowHeight="13"/>
  <cols>
    <col min="1" max="1" width="8.83203125" style="75" hidden="1" customWidth="1"/>
    <col min="2" max="2" width="40.5" style="127" customWidth="1"/>
    <col min="3" max="3" width="20.33203125" style="127" customWidth="1"/>
    <col min="4" max="4" width="11.1640625" style="128" customWidth="1"/>
    <col min="5" max="5" width="8.33203125" style="128" bestFit="1" customWidth="1"/>
    <col min="6" max="6" width="15" style="127" customWidth="1"/>
    <col min="7" max="7" width="15.33203125" style="129" bestFit="1" customWidth="1"/>
    <col min="8" max="8" width="17.5" style="75" customWidth="1"/>
    <col min="9" max="10" width="15.6640625" style="130" customWidth="1"/>
    <col min="11" max="11" width="47" style="76" customWidth="1"/>
    <col min="12" max="12" width="10.1640625" style="76" customWidth="1"/>
    <col min="13" max="16384" width="9.1640625" style="76"/>
  </cols>
  <sheetData>
    <row r="1" spans="1:11" ht="21">
      <c r="B1" s="536" t="s">
        <v>549</v>
      </c>
      <c r="C1" s="536"/>
      <c r="D1" s="536"/>
      <c r="E1" s="536"/>
      <c r="F1" s="536"/>
      <c r="G1" s="536"/>
      <c r="H1" s="536"/>
      <c r="I1" s="536"/>
      <c r="J1" s="536"/>
      <c r="K1" s="536"/>
    </row>
    <row r="3" spans="1:11" s="77" customFormat="1" ht="14">
      <c r="A3" s="537"/>
      <c r="B3" s="538" t="s">
        <v>550</v>
      </c>
      <c r="C3" s="540" t="s">
        <v>551</v>
      </c>
      <c r="D3" s="541"/>
      <c r="E3" s="541"/>
      <c r="F3" s="541"/>
      <c r="G3" s="541"/>
      <c r="H3" s="541"/>
      <c r="I3" s="541"/>
      <c r="J3" s="541"/>
      <c r="K3" s="542"/>
    </row>
    <row r="4" spans="1:11" s="77" customFormat="1" ht="31" thickBot="1">
      <c r="A4" s="537"/>
      <c r="B4" s="539"/>
      <c r="C4" s="338" t="s">
        <v>552</v>
      </c>
      <c r="D4" s="339" t="s">
        <v>553</v>
      </c>
      <c r="E4" s="339" t="s">
        <v>554</v>
      </c>
      <c r="F4" s="339" t="s">
        <v>555</v>
      </c>
      <c r="G4" s="340" t="s">
        <v>465</v>
      </c>
      <c r="H4" s="341" t="s">
        <v>556</v>
      </c>
      <c r="I4" s="341" t="s">
        <v>557</v>
      </c>
      <c r="J4" s="342" t="s">
        <v>558</v>
      </c>
      <c r="K4" s="343" t="s">
        <v>559</v>
      </c>
    </row>
    <row r="5" spans="1:11" s="79" customFormat="1" ht="15" thickBot="1">
      <c r="A5" s="344"/>
      <c r="B5" s="543" t="s">
        <v>560</v>
      </c>
      <c r="C5" s="544"/>
      <c r="D5" s="544"/>
      <c r="E5" s="544"/>
      <c r="F5" s="544"/>
      <c r="G5" s="545"/>
      <c r="H5" s="78">
        <f>SUM(H6:H12)</f>
        <v>942000000</v>
      </c>
      <c r="I5" s="345"/>
      <c r="J5" s="345"/>
      <c r="K5" s="346"/>
    </row>
    <row r="6" spans="1:11" s="85" customFormat="1" ht="45">
      <c r="A6" s="347"/>
      <c r="B6" s="80" t="s">
        <v>561</v>
      </c>
      <c r="C6" s="81" t="s">
        <v>562</v>
      </c>
      <c r="D6" s="82" t="s">
        <v>563</v>
      </c>
      <c r="E6" s="82">
        <v>1</v>
      </c>
      <c r="F6" s="82" t="s">
        <v>564</v>
      </c>
      <c r="G6" s="83">
        <v>35000000</v>
      </c>
      <c r="H6" s="84">
        <f>G6*E6</f>
        <v>35000000</v>
      </c>
      <c r="I6" s="348">
        <v>45962</v>
      </c>
      <c r="J6" s="348">
        <v>46327</v>
      </c>
      <c r="K6" s="349" t="s">
        <v>565</v>
      </c>
    </row>
    <row r="7" spans="1:11" s="85" customFormat="1" ht="30">
      <c r="A7" s="347"/>
      <c r="B7" s="80" t="s">
        <v>566</v>
      </c>
      <c r="C7" s="81" t="s">
        <v>567</v>
      </c>
      <c r="D7" s="82" t="s">
        <v>563</v>
      </c>
      <c r="E7" s="82">
        <v>1</v>
      </c>
      <c r="F7" s="82" t="s">
        <v>564</v>
      </c>
      <c r="G7" s="83">
        <v>60000000</v>
      </c>
      <c r="H7" s="84">
        <f>G7*E7</f>
        <v>60000000</v>
      </c>
      <c r="I7" s="348">
        <v>46082</v>
      </c>
      <c r="J7" s="348">
        <v>46143</v>
      </c>
      <c r="K7" s="349" t="s">
        <v>568</v>
      </c>
    </row>
    <row r="8" spans="1:11" s="85" customFormat="1" ht="30">
      <c r="A8" s="347"/>
      <c r="B8" s="80" t="s">
        <v>569</v>
      </c>
      <c r="C8" s="81" t="s">
        <v>570</v>
      </c>
      <c r="D8" s="82" t="s">
        <v>563</v>
      </c>
      <c r="E8" s="82">
        <v>1</v>
      </c>
      <c r="F8" s="82" t="s">
        <v>564</v>
      </c>
      <c r="G8" s="83">
        <v>40000000</v>
      </c>
      <c r="H8" s="84">
        <f>G8*E8</f>
        <v>40000000</v>
      </c>
      <c r="I8" s="348">
        <v>45717</v>
      </c>
      <c r="J8" s="348">
        <v>45778</v>
      </c>
      <c r="K8" s="349" t="s">
        <v>571</v>
      </c>
    </row>
    <row r="9" spans="1:11" s="85" customFormat="1" ht="16">
      <c r="A9" s="350"/>
      <c r="B9" s="351" t="s">
        <v>572</v>
      </c>
      <c r="C9" s="352" t="s">
        <v>573</v>
      </c>
      <c r="D9" s="353" t="s">
        <v>563</v>
      </c>
      <c r="E9" s="353">
        <v>1</v>
      </c>
      <c r="F9" s="353" t="s">
        <v>20</v>
      </c>
      <c r="G9" s="354">
        <v>72000000</v>
      </c>
      <c r="H9" s="84">
        <f t="shared" ref="H9:H12" si="0">G9*E9</f>
        <v>72000000</v>
      </c>
      <c r="I9" s="348"/>
      <c r="J9" s="348"/>
      <c r="K9" s="355" t="s">
        <v>574</v>
      </c>
    </row>
    <row r="10" spans="1:11" s="85" customFormat="1" ht="30">
      <c r="A10" s="350"/>
      <c r="B10" s="351" t="s">
        <v>575</v>
      </c>
      <c r="C10" s="352" t="s">
        <v>576</v>
      </c>
      <c r="D10" s="353" t="s">
        <v>563</v>
      </c>
      <c r="E10" s="353">
        <v>1</v>
      </c>
      <c r="F10" s="353" t="s">
        <v>577</v>
      </c>
      <c r="G10" s="354">
        <v>300000000</v>
      </c>
      <c r="H10" s="84">
        <f t="shared" si="0"/>
        <v>300000000</v>
      </c>
      <c r="I10" s="348"/>
      <c r="J10" s="348"/>
      <c r="K10" s="356" t="s">
        <v>578</v>
      </c>
    </row>
    <row r="11" spans="1:11" s="85" customFormat="1" ht="16">
      <c r="A11" s="350"/>
      <c r="B11" s="351" t="s">
        <v>579</v>
      </c>
      <c r="C11" s="352" t="s">
        <v>580</v>
      </c>
      <c r="D11" s="353" t="s">
        <v>563</v>
      </c>
      <c r="E11" s="353">
        <v>1</v>
      </c>
      <c r="F11" s="353" t="s">
        <v>564</v>
      </c>
      <c r="G11" s="354">
        <v>85000000</v>
      </c>
      <c r="H11" s="84">
        <f>G11*E11</f>
        <v>85000000</v>
      </c>
      <c r="I11" s="348"/>
      <c r="J11" s="348"/>
      <c r="K11" s="356" t="s">
        <v>581</v>
      </c>
    </row>
    <row r="12" spans="1:11" s="85" customFormat="1" ht="30">
      <c r="A12" s="350"/>
      <c r="B12" s="351" t="s">
        <v>582</v>
      </c>
      <c r="C12" s="352" t="s">
        <v>583</v>
      </c>
      <c r="D12" s="353" t="s">
        <v>563</v>
      </c>
      <c r="E12" s="353">
        <v>1</v>
      </c>
      <c r="F12" s="353" t="s">
        <v>564</v>
      </c>
      <c r="G12" s="354">
        <v>350000000</v>
      </c>
      <c r="H12" s="357">
        <f t="shared" si="0"/>
        <v>350000000</v>
      </c>
      <c r="I12" s="348"/>
      <c r="J12" s="348"/>
      <c r="K12" s="355" t="s">
        <v>584</v>
      </c>
    </row>
    <row r="13" spans="1:11" s="79" customFormat="1" ht="16" thickBot="1">
      <c r="A13" s="344"/>
      <c r="B13" s="86" t="s">
        <v>585</v>
      </c>
      <c r="C13" s="87"/>
      <c r="D13" s="87"/>
      <c r="E13" s="87"/>
      <c r="F13" s="87"/>
      <c r="G13" s="88"/>
      <c r="H13" s="89">
        <f>SUM(H14:H15)</f>
        <v>76000000</v>
      </c>
      <c r="I13" s="90"/>
      <c r="J13" s="91"/>
      <c r="K13" s="92"/>
    </row>
    <row r="14" spans="1:11" s="79" customFormat="1" ht="15">
      <c r="A14" s="358"/>
      <c r="B14" s="351" t="s">
        <v>586</v>
      </c>
      <c r="C14" s="359" t="s">
        <v>587</v>
      </c>
      <c r="D14" s="360" t="s">
        <v>406</v>
      </c>
      <c r="E14" s="361">
        <v>2</v>
      </c>
      <c r="F14" s="360" t="s">
        <v>588</v>
      </c>
      <c r="G14" s="362">
        <v>20000000</v>
      </c>
      <c r="H14" s="363">
        <f>G14*E14</f>
        <v>40000000</v>
      </c>
      <c r="I14" s="364"/>
      <c r="J14" s="365">
        <v>46023</v>
      </c>
      <c r="K14" s="355" t="s">
        <v>589</v>
      </c>
    </row>
    <row r="15" spans="1:11" s="79" customFormat="1" ht="15">
      <c r="A15" s="344"/>
      <c r="B15" s="351" t="s">
        <v>590</v>
      </c>
      <c r="C15" s="359" t="s">
        <v>587</v>
      </c>
      <c r="D15" s="360" t="s">
        <v>406</v>
      </c>
      <c r="E15" s="361">
        <v>2</v>
      </c>
      <c r="F15" s="360" t="s">
        <v>564</v>
      </c>
      <c r="G15" s="362">
        <v>18000000</v>
      </c>
      <c r="H15" s="366">
        <f>G15*E15</f>
        <v>36000000</v>
      </c>
      <c r="I15" s="364"/>
      <c r="J15" s="365">
        <v>46023</v>
      </c>
      <c r="K15" s="355" t="s">
        <v>591</v>
      </c>
    </row>
    <row r="16" spans="1:11" s="79" customFormat="1" ht="75">
      <c r="A16" s="344"/>
      <c r="B16" s="351" t="s">
        <v>592</v>
      </c>
      <c r="C16" s="359" t="s">
        <v>593</v>
      </c>
      <c r="D16" s="360" t="s">
        <v>406</v>
      </c>
      <c r="E16" s="361">
        <v>1</v>
      </c>
      <c r="F16" s="360" t="s">
        <v>564</v>
      </c>
      <c r="G16" s="362">
        <v>48000000</v>
      </c>
      <c r="H16" s="367">
        <f>G16*E16</f>
        <v>48000000</v>
      </c>
      <c r="I16" s="364"/>
      <c r="J16" s="365">
        <v>46111</v>
      </c>
      <c r="K16" s="355" t="s">
        <v>594</v>
      </c>
    </row>
    <row r="17" spans="1:11" s="79" customFormat="1" ht="15" thickBot="1">
      <c r="A17" s="344"/>
      <c r="B17" s="546" t="s">
        <v>595</v>
      </c>
      <c r="C17" s="547"/>
      <c r="D17" s="547"/>
      <c r="E17" s="547"/>
      <c r="F17" s="547"/>
      <c r="G17" s="548"/>
      <c r="H17" s="89">
        <f>SUM(H18:H21)</f>
        <v>201000000</v>
      </c>
      <c r="I17" s="90"/>
      <c r="J17" s="91"/>
      <c r="K17" s="92"/>
    </row>
    <row r="18" spans="1:11" s="79" customFormat="1" ht="45">
      <c r="A18" s="358"/>
      <c r="B18" s="351" t="s">
        <v>596</v>
      </c>
      <c r="C18" s="359" t="s">
        <v>597</v>
      </c>
      <c r="D18" s="360" t="s">
        <v>290</v>
      </c>
      <c r="E18" s="361">
        <v>1</v>
      </c>
      <c r="F18" s="360" t="s">
        <v>20</v>
      </c>
      <c r="G18" s="368">
        <v>60000000</v>
      </c>
      <c r="H18" s="367">
        <f>G18*E18</f>
        <v>60000000</v>
      </c>
      <c r="I18" s="369"/>
      <c r="J18" s="348">
        <v>46143</v>
      </c>
      <c r="K18" s="370" t="s">
        <v>598</v>
      </c>
    </row>
    <row r="19" spans="1:11" s="79" customFormat="1" ht="30">
      <c r="A19" s="358"/>
      <c r="B19" s="351" t="s">
        <v>599</v>
      </c>
      <c r="C19" s="359" t="s">
        <v>587</v>
      </c>
      <c r="D19" s="360" t="s">
        <v>290</v>
      </c>
      <c r="E19" s="361">
        <v>1</v>
      </c>
      <c r="F19" s="360" t="s">
        <v>564</v>
      </c>
      <c r="G19" s="368">
        <v>45000000</v>
      </c>
      <c r="H19" s="367">
        <f>G19*E19</f>
        <v>45000000</v>
      </c>
      <c r="I19" s="369"/>
      <c r="J19" s="348">
        <v>46023</v>
      </c>
      <c r="K19" s="370" t="s">
        <v>600</v>
      </c>
    </row>
    <row r="20" spans="1:11" s="79" customFormat="1" ht="45">
      <c r="A20" s="358"/>
      <c r="B20" s="371" t="s">
        <v>601</v>
      </c>
      <c r="C20" s="372" t="s">
        <v>587</v>
      </c>
      <c r="D20" s="373" t="s">
        <v>290</v>
      </c>
      <c r="E20" s="374">
        <v>1</v>
      </c>
      <c r="F20" s="373" t="s">
        <v>602</v>
      </c>
      <c r="G20" s="375">
        <v>80000000</v>
      </c>
      <c r="H20" s="376">
        <f t="shared" ref="H20" si="1">G20*E20</f>
        <v>80000000</v>
      </c>
      <c r="I20" s="377">
        <v>45658</v>
      </c>
      <c r="J20" s="378">
        <v>45717</v>
      </c>
      <c r="K20" s="379" t="s">
        <v>603</v>
      </c>
    </row>
    <row r="21" spans="1:11" s="79" customFormat="1" ht="30">
      <c r="A21" s="344"/>
      <c r="B21" s="351" t="s">
        <v>604</v>
      </c>
      <c r="C21" s="359" t="s">
        <v>587</v>
      </c>
      <c r="D21" s="360" t="s">
        <v>290</v>
      </c>
      <c r="E21" s="361">
        <v>2</v>
      </c>
      <c r="F21" s="360" t="s">
        <v>602</v>
      </c>
      <c r="G21" s="362">
        <v>8000000</v>
      </c>
      <c r="H21" s="367">
        <f>G21*E21</f>
        <v>16000000</v>
      </c>
      <c r="I21" s="369">
        <v>46082</v>
      </c>
      <c r="J21" s="348">
        <v>46111</v>
      </c>
      <c r="K21" s="356" t="s">
        <v>605</v>
      </c>
    </row>
    <row r="22" spans="1:11" s="79" customFormat="1" ht="15" thickBot="1">
      <c r="A22" s="344"/>
      <c r="B22" s="530" t="s">
        <v>518</v>
      </c>
      <c r="C22" s="531"/>
      <c r="D22" s="531"/>
      <c r="E22" s="531"/>
      <c r="F22" s="531"/>
      <c r="G22" s="532"/>
      <c r="H22" s="93">
        <f>SUM(H23:H27)</f>
        <v>63000000</v>
      </c>
      <c r="I22" s="94"/>
      <c r="J22" s="345"/>
      <c r="K22" s="92"/>
    </row>
    <row r="23" spans="1:11" s="79" customFormat="1" ht="15">
      <c r="A23" s="344"/>
      <c r="B23" s="95" t="s">
        <v>606</v>
      </c>
      <c r="C23" s="356" t="s">
        <v>607</v>
      </c>
      <c r="D23" s="352" t="s">
        <v>608</v>
      </c>
      <c r="E23" s="394">
        <v>1</v>
      </c>
      <c r="F23" s="352" t="s">
        <v>564</v>
      </c>
      <c r="G23" s="357">
        <v>10000000</v>
      </c>
      <c r="H23" s="395">
        <f>G23*E23</f>
        <v>10000000</v>
      </c>
      <c r="I23" s="396"/>
      <c r="J23" s="348">
        <v>46113</v>
      </c>
      <c r="K23" s="349" t="s">
        <v>609</v>
      </c>
    </row>
    <row r="24" spans="1:11" s="79" customFormat="1" ht="15">
      <c r="A24" s="344"/>
      <c r="B24" s="95" t="s">
        <v>610</v>
      </c>
      <c r="C24" s="356" t="s">
        <v>607</v>
      </c>
      <c r="D24" s="352" t="s">
        <v>608</v>
      </c>
      <c r="E24" s="394">
        <v>1</v>
      </c>
      <c r="F24" s="352" t="s">
        <v>20</v>
      </c>
      <c r="G24" s="357">
        <v>2500000</v>
      </c>
      <c r="H24" s="395">
        <f>G24*E24</f>
        <v>2500000</v>
      </c>
      <c r="I24" s="396">
        <v>46082</v>
      </c>
      <c r="J24" s="348">
        <v>46113</v>
      </c>
      <c r="K24" s="349" t="s">
        <v>611</v>
      </c>
    </row>
    <row r="25" spans="1:11" s="79" customFormat="1" ht="30">
      <c r="A25" s="344"/>
      <c r="B25" s="95" t="s">
        <v>612</v>
      </c>
      <c r="C25" s="356" t="s">
        <v>607</v>
      </c>
      <c r="D25" s="352" t="s">
        <v>608</v>
      </c>
      <c r="E25" s="394">
        <v>15</v>
      </c>
      <c r="F25" s="352" t="s">
        <v>602</v>
      </c>
      <c r="G25" s="357">
        <v>700000</v>
      </c>
      <c r="H25" s="395">
        <f>G25*E25</f>
        <v>10500000</v>
      </c>
      <c r="I25" s="396">
        <v>46204</v>
      </c>
      <c r="J25" s="348">
        <v>46235</v>
      </c>
      <c r="K25" s="349" t="s">
        <v>613</v>
      </c>
    </row>
    <row r="26" spans="1:11" s="79" customFormat="1" ht="15">
      <c r="A26" s="344"/>
      <c r="B26" s="95" t="s">
        <v>614</v>
      </c>
      <c r="C26" s="356" t="s">
        <v>607</v>
      </c>
      <c r="D26" s="352" t="s">
        <v>608</v>
      </c>
      <c r="E26" s="394">
        <v>1</v>
      </c>
      <c r="F26" s="352" t="s">
        <v>602</v>
      </c>
      <c r="G26" s="357">
        <v>40000000</v>
      </c>
      <c r="H26" s="395">
        <v>40000000</v>
      </c>
      <c r="I26" s="396">
        <v>46204</v>
      </c>
      <c r="J26" s="348">
        <v>46235</v>
      </c>
      <c r="K26" s="349" t="s">
        <v>615</v>
      </c>
    </row>
    <row r="27" spans="1:11" s="79" customFormat="1" ht="14">
      <c r="A27" s="344"/>
      <c r="B27" s="95"/>
      <c r="C27" s="356"/>
      <c r="D27" s="352"/>
      <c r="E27" s="394"/>
      <c r="F27" s="352"/>
      <c r="G27" s="357"/>
      <c r="H27" s="395"/>
      <c r="I27" s="396"/>
      <c r="J27" s="348"/>
      <c r="K27" s="349"/>
    </row>
    <row r="28" spans="1:11" s="79" customFormat="1" ht="14">
      <c r="A28" s="358"/>
      <c r="B28" s="533" t="s">
        <v>616</v>
      </c>
      <c r="C28" s="534"/>
      <c r="D28" s="534"/>
      <c r="E28" s="534"/>
      <c r="F28" s="534"/>
      <c r="G28" s="535"/>
      <c r="H28" s="96">
        <f>SUM(H29:H32)</f>
        <v>36500000</v>
      </c>
      <c r="I28" s="397"/>
      <c r="J28" s="398"/>
      <c r="K28" s="399"/>
    </row>
    <row r="29" spans="1:11" s="79" customFormat="1" ht="15">
      <c r="A29" s="344"/>
      <c r="B29" s="97" t="s">
        <v>617</v>
      </c>
      <c r="C29" s="97" t="s">
        <v>618</v>
      </c>
      <c r="D29" s="97"/>
      <c r="E29" s="98">
        <v>2</v>
      </c>
      <c r="F29" s="97" t="s">
        <v>564</v>
      </c>
      <c r="G29" s="99">
        <v>6000000</v>
      </c>
      <c r="H29" s="100">
        <f>G29*E29</f>
        <v>12000000</v>
      </c>
      <c r="I29" s="101"/>
      <c r="J29" s="378">
        <v>46054</v>
      </c>
      <c r="K29" s="102" t="s">
        <v>619</v>
      </c>
    </row>
    <row r="30" spans="1:11" s="79" customFormat="1" ht="15">
      <c r="A30" s="344"/>
      <c r="B30" s="400" t="s">
        <v>620</v>
      </c>
      <c r="C30" s="400" t="s">
        <v>621</v>
      </c>
      <c r="D30" s="400"/>
      <c r="E30" s="353">
        <v>2</v>
      </c>
      <c r="F30" s="400" t="s">
        <v>564</v>
      </c>
      <c r="G30" s="401">
        <v>3000000</v>
      </c>
      <c r="H30" s="402">
        <f>G30*E30</f>
        <v>6000000</v>
      </c>
      <c r="I30" s="403"/>
      <c r="J30" s="348">
        <v>46054</v>
      </c>
      <c r="K30" s="356"/>
    </row>
    <row r="31" spans="1:11" s="79" customFormat="1" ht="15">
      <c r="A31" s="344"/>
      <c r="B31" s="103" t="s">
        <v>622</v>
      </c>
      <c r="C31" s="103" t="s">
        <v>621</v>
      </c>
      <c r="D31" s="103"/>
      <c r="E31" s="82">
        <v>1</v>
      </c>
      <c r="F31" s="103" t="s">
        <v>564</v>
      </c>
      <c r="G31" s="104">
        <v>3500000</v>
      </c>
      <c r="H31" s="105">
        <f>G31*E31</f>
        <v>3500000</v>
      </c>
      <c r="I31" s="106"/>
      <c r="J31" s="107">
        <v>46054</v>
      </c>
      <c r="K31" s="108" t="s">
        <v>623</v>
      </c>
    </row>
    <row r="32" spans="1:11" s="79" customFormat="1" ht="90">
      <c r="A32" s="358"/>
      <c r="B32" s="80" t="s">
        <v>624</v>
      </c>
      <c r="C32" s="109" t="s">
        <v>621</v>
      </c>
      <c r="D32" s="110" t="s">
        <v>625</v>
      </c>
      <c r="E32" s="111">
        <v>1</v>
      </c>
      <c r="F32" s="110" t="s">
        <v>602</v>
      </c>
      <c r="G32" s="112">
        <v>15000000</v>
      </c>
      <c r="H32" s="113">
        <v>15000000</v>
      </c>
      <c r="I32" s="114">
        <v>45778</v>
      </c>
      <c r="J32" s="107">
        <v>46386</v>
      </c>
      <c r="K32" s="108" t="s">
        <v>626</v>
      </c>
    </row>
    <row r="33" spans="1:11" s="77" customFormat="1" ht="17">
      <c r="A33" s="404"/>
      <c r="B33" s="405" t="s">
        <v>627</v>
      </c>
      <c r="C33" s="405"/>
      <c r="D33" s="406"/>
      <c r="E33" s="407"/>
      <c r="F33" s="405"/>
      <c r="G33" s="408"/>
      <c r="H33" s="409" t="e">
        <f>H28+H22+#REF!+H17+H13+H5</f>
        <v>#REF!</v>
      </c>
      <c r="I33" s="410"/>
      <c r="J33" s="410"/>
      <c r="K33" s="411"/>
    </row>
    <row r="34" spans="1:11" s="115" customFormat="1">
      <c r="B34" s="116"/>
      <c r="C34" s="117"/>
      <c r="D34" s="118"/>
      <c r="E34" s="119"/>
      <c r="F34" s="117"/>
      <c r="G34" s="120"/>
      <c r="I34" s="121"/>
      <c r="J34" s="121"/>
    </row>
    <row r="35" spans="1:11" s="115" customFormat="1">
      <c r="B35" s="116"/>
      <c r="C35" s="117"/>
      <c r="D35" s="118"/>
      <c r="E35" s="119"/>
      <c r="F35" s="117"/>
      <c r="G35" s="120"/>
      <c r="I35" s="121"/>
      <c r="J35" s="121"/>
    </row>
    <row r="36" spans="1:11" s="79" customFormat="1">
      <c r="A36" s="115"/>
      <c r="B36" s="122"/>
      <c r="C36" s="123"/>
      <c r="D36" s="124"/>
      <c r="E36" s="124"/>
      <c r="F36" s="123"/>
      <c r="G36" s="125"/>
      <c r="I36" s="126"/>
      <c r="J36" s="126"/>
    </row>
    <row r="37" spans="1:11" ht="30">
      <c r="B37" s="30" t="s">
        <v>100</v>
      </c>
      <c r="J37" s="130" t="s">
        <v>628</v>
      </c>
    </row>
    <row r="38" spans="1:11" ht="14">
      <c r="B38" s="127" t="s">
        <v>629</v>
      </c>
    </row>
  </sheetData>
  <mergeCells count="8">
    <mergeCell ref="B22:G22"/>
    <mergeCell ref="B28:G28"/>
    <mergeCell ref="B1:K1"/>
    <mergeCell ref="A3:A4"/>
    <mergeCell ref="B3:B4"/>
    <mergeCell ref="C3:K3"/>
    <mergeCell ref="B5:G5"/>
    <mergeCell ref="B17:G1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52B71-5C67-8041-B14B-F7C885ED9F3A}">
  <dimension ref="A1:M73"/>
  <sheetViews>
    <sheetView topLeftCell="A48" workbookViewId="0">
      <selection activeCell="C24" sqref="C24"/>
    </sheetView>
  </sheetViews>
  <sheetFormatPr baseColWidth="10" defaultColWidth="8.83203125" defaultRowHeight="15"/>
  <cols>
    <col min="1" max="1" width="7.33203125" customWidth="1"/>
    <col min="2" max="2" width="18.83203125" customWidth="1"/>
    <col min="3" max="3" width="46.6640625" customWidth="1"/>
    <col min="4" max="4" width="11.5" customWidth="1"/>
    <col min="5" max="5" width="10.83203125" bestFit="1" customWidth="1"/>
    <col min="6" max="6" width="9" bestFit="1" customWidth="1"/>
    <col min="7" max="7" width="9" customWidth="1"/>
    <col min="8" max="8" width="17.83203125" customWidth="1"/>
    <col min="9" max="9" width="15.83203125" customWidth="1"/>
    <col min="10" max="10" width="16.5" customWidth="1"/>
    <col min="11" max="11" width="16.1640625" customWidth="1"/>
    <col min="12" max="12" width="16.6640625" customWidth="1"/>
    <col min="13" max="13" width="55.83203125" customWidth="1"/>
    <col min="14" max="14" width="12.83203125" customWidth="1"/>
  </cols>
  <sheetData>
    <row r="1" spans="1:13" ht="16">
      <c r="A1" s="560" t="s">
        <v>630</v>
      </c>
      <c r="B1" s="560"/>
      <c r="C1" s="560"/>
    </row>
    <row r="2" spans="1:13" ht="16">
      <c r="A2" s="560" t="s">
        <v>631</v>
      </c>
      <c r="B2" s="560"/>
      <c r="C2" s="560"/>
    </row>
    <row r="3" spans="1:13" ht="8" customHeight="1">
      <c r="A3" s="49"/>
      <c r="B3" s="49"/>
      <c r="C3" s="49"/>
    </row>
    <row r="4" spans="1:13" ht="18">
      <c r="A4" s="561" t="s">
        <v>632</v>
      </c>
      <c r="B4" s="562"/>
      <c r="C4" s="562"/>
      <c r="D4" s="562"/>
      <c r="E4" s="562"/>
      <c r="F4" s="562"/>
      <c r="G4" s="562"/>
      <c r="H4" s="562"/>
      <c r="I4" s="562"/>
      <c r="J4" s="562"/>
      <c r="K4" s="562"/>
      <c r="L4" s="562"/>
      <c r="M4" s="562"/>
    </row>
    <row r="5" spans="1:13" ht="7" customHeight="1"/>
    <row r="6" spans="1:13" ht="51">
      <c r="A6" s="412" t="s">
        <v>633</v>
      </c>
      <c r="B6" s="412" t="s">
        <v>500</v>
      </c>
      <c r="C6" s="412" t="s">
        <v>634</v>
      </c>
      <c r="D6" s="412" t="s">
        <v>499</v>
      </c>
      <c r="E6" s="412" t="s">
        <v>635</v>
      </c>
      <c r="F6" s="412" t="s">
        <v>554</v>
      </c>
      <c r="G6" s="412" t="s">
        <v>636</v>
      </c>
      <c r="H6" s="412" t="s">
        <v>637</v>
      </c>
      <c r="I6" s="412" t="s">
        <v>638</v>
      </c>
      <c r="J6" s="412" t="s">
        <v>639</v>
      </c>
      <c r="K6" s="412" t="s">
        <v>640</v>
      </c>
      <c r="L6" s="412" t="s">
        <v>641</v>
      </c>
      <c r="M6" s="413" t="s">
        <v>642</v>
      </c>
    </row>
    <row r="7" spans="1:13" ht="31.25" customHeight="1">
      <c r="A7" s="414">
        <v>1</v>
      </c>
      <c r="B7" s="415" t="s">
        <v>643</v>
      </c>
      <c r="C7" s="416" t="s">
        <v>644</v>
      </c>
      <c r="D7" s="414" t="s">
        <v>645</v>
      </c>
      <c r="E7" s="414">
        <v>2026</v>
      </c>
      <c r="F7" s="414">
        <v>1</v>
      </c>
      <c r="G7" s="414" t="s">
        <v>646</v>
      </c>
      <c r="H7" s="417">
        <v>32000000</v>
      </c>
      <c r="I7" s="418">
        <f t="shared" ref="I7:I46" si="0">H7*F7</f>
        <v>32000000</v>
      </c>
      <c r="J7" s="417">
        <f t="shared" ref="J7:J12" si="1">I7*0</f>
        <v>0</v>
      </c>
      <c r="K7" s="417">
        <f t="shared" ref="K7:K31" si="2">SUM(I7:J7)</f>
        <v>32000000</v>
      </c>
      <c r="L7" s="419" t="s">
        <v>647</v>
      </c>
      <c r="M7" s="420" t="s">
        <v>648</v>
      </c>
    </row>
    <row r="8" spans="1:13" ht="31.25" customHeight="1">
      <c r="A8" s="414">
        <v>2</v>
      </c>
      <c r="B8" s="421" t="s">
        <v>649</v>
      </c>
      <c r="C8" s="416" t="s">
        <v>650</v>
      </c>
      <c r="D8" s="414" t="s">
        <v>651</v>
      </c>
      <c r="E8" s="414">
        <v>2026</v>
      </c>
      <c r="F8" s="414">
        <v>2</v>
      </c>
      <c r="G8" s="414" t="s">
        <v>652</v>
      </c>
      <c r="H8" s="417">
        <v>13560000</v>
      </c>
      <c r="I8" s="418">
        <f t="shared" si="0"/>
        <v>27120000</v>
      </c>
      <c r="J8" s="417">
        <f>I8*0.1</f>
        <v>2712000</v>
      </c>
      <c r="K8" s="417">
        <f t="shared" ref="K8:K10" si="3">SUM(I8:J8)</f>
        <v>29832000</v>
      </c>
      <c r="L8" s="419" t="s">
        <v>653</v>
      </c>
      <c r="M8" s="420"/>
    </row>
    <row r="9" spans="1:13" ht="31.25" customHeight="1">
      <c r="A9" s="414"/>
      <c r="B9" s="421" t="s">
        <v>654</v>
      </c>
      <c r="C9" s="416" t="s">
        <v>655</v>
      </c>
      <c r="D9" s="414" t="s">
        <v>651</v>
      </c>
      <c r="E9" s="414">
        <v>2026</v>
      </c>
      <c r="F9" s="414">
        <v>1</v>
      </c>
      <c r="G9" s="414" t="s">
        <v>656</v>
      </c>
      <c r="H9" s="417">
        <v>900000000</v>
      </c>
      <c r="I9" s="418">
        <f t="shared" si="0"/>
        <v>900000000</v>
      </c>
      <c r="J9" s="417">
        <f t="shared" ref="J9:J10" si="4">I9*0.1</f>
        <v>90000000</v>
      </c>
      <c r="K9" s="417">
        <f t="shared" si="3"/>
        <v>990000000</v>
      </c>
      <c r="L9" s="419"/>
      <c r="M9" s="420"/>
    </row>
    <row r="10" spans="1:13" ht="31.25" customHeight="1">
      <c r="A10" s="414"/>
      <c r="B10" s="421" t="s">
        <v>657</v>
      </c>
      <c r="C10" s="416" t="s">
        <v>658</v>
      </c>
      <c r="D10" s="414" t="s">
        <v>651</v>
      </c>
      <c r="E10" s="414">
        <v>2026</v>
      </c>
      <c r="F10" s="414">
        <v>2</v>
      </c>
      <c r="G10" s="414" t="s">
        <v>652</v>
      </c>
      <c r="H10" s="417">
        <v>147000000</v>
      </c>
      <c r="I10" s="418">
        <f t="shared" si="0"/>
        <v>294000000</v>
      </c>
      <c r="J10" s="417">
        <f t="shared" si="4"/>
        <v>29400000</v>
      </c>
      <c r="K10" s="417">
        <f t="shared" si="3"/>
        <v>323400000</v>
      </c>
      <c r="L10" s="419"/>
      <c r="M10" s="420"/>
    </row>
    <row r="11" spans="1:13" ht="22.25" customHeight="1">
      <c r="A11" s="414">
        <v>3</v>
      </c>
      <c r="B11" s="550" t="s">
        <v>659</v>
      </c>
      <c r="C11" s="416" t="s">
        <v>660</v>
      </c>
      <c r="D11" s="414" t="s">
        <v>651</v>
      </c>
      <c r="E11" s="414">
        <v>2026</v>
      </c>
      <c r="F11" s="414">
        <v>53</v>
      </c>
      <c r="G11" s="414" t="s">
        <v>646</v>
      </c>
      <c r="H11" s="417">
        <v>450000</v>
      </c>
      <c r="I11" s="418">
        <f t="shared" si="0"/>
        <v>23850000</v>
      </c>
      <c r="J11" s="417">
        <f t="shared" si="1"/>
        <v>0</v>
      </c>
      <c r="K11" s="417">
        <f t="shared" si="2"/>
        <v>23850000</v>
      </c>
      <c r="L11" s="419" t="s">
        <v>661</v>
      </c>
      <c r="M11" s="422" t="s">
        <v>662</v>
      </c>
    </row>
    <row r="12" spans="1:13" ht="22.25" customHeight="1">
      <c r="A12" s="414">
        <v>4</v>
      </c>
      <c r="B12" s="563"/>
      <c r="C12" s="423" t="s">
        <v>663</v>
      </c>
      <c r="D12" s="414" t="s">
        <v>651</v>
      </c>
      <c r="E12" s="414">
        <v>2026</v>
      </c>
      <c r="F12" s="414">
        <v>1</v>
      </c>
      <c r="G12" s="414" t="s">
        <v>646</v>
      </c>
      <c r="H12" s="417">
        <v>3200000</v>
      </c>
      <c r="I12" s="418">
        <f t="shared" si="0"/>
        <v>3200000</v>
      </c>
      <c r="J12" s="417">
        <f t="shared" si="1"/>
        <v>0</v>
      </c>
      <c r="K12" s="417">
        <f t="shared" ref="K12" si="5">SUM(I12:J12)</f>
        <v>3200000</v>
      </c>
      <c r="L12" s="419" t="s">
        <v>664</v>
      </c>
      <c r="M12" s="422" t="s">
        <v>665</v>
      </c>
    </row>
    <row r="13" spans="1:13" ht="22.25" customHeight="1">
      <c r="A13" s="414">
        <v>5</v>
      </c>
      <c r="B13" s="563"/>
      <c r="C13" s="416" t="s">
        <v>666</v>
      </c>
      <c r="D13" s="414" t="s">
        <v>651</v>
      </c>
      <c r="E13" s="414">
        <v>2026</v>
      </c>
      <c r="F13" s="414">
        <v>45</v>
      </c>
      <c r="G13" s="414" t="s">
        <v>518</v>
      </c>
      <c r="H13" s="417">
        <v>3200000</v>
      </c>
      <c r="I13" s="418">
        <f>H13*F13</f>
        <v>144000000</v>
      </c>
      <c r="J13" s="417">
        <f>H13*0.1</f>
        <v>320000</v>
      </c>
      <c r="K13" s="417">
        <f>SUM(I13:J13)</f>
        <v>144320000</v>
      </c>
      <c r="L13" s="419" t="s">
        <v>653</v>
      </c>
      <c r="M13" s="424" t="s">
        <v>667</v>
      </c>
    </row>
    <row r="14" spans="1:13" ht="22.25" customHeight="1">
      <c r="A14" s="414">
        <v>6</v>
      </c>
      <c r="B14" s="563"/>
      <c r="C14" s="416" t="s">
        <v>668</v>
      </c>
      <c r="D14" s="414" t="s">
        <v>651</v>
      </c>
      <c r="E14" s="414">
        <v>2026</v>
      </c>
      <c r="F14" s="414">
        <v>45</v>
      </c>
      <c r="G14" s="414" t="s">
        <v>518</v>
      </c>
      <c r="H14" s="417">
        <v>1680000</v>
      </c>
      <c r="I14" s="418">
        <f>H14*F14</f>
        <v>75600000</v>
      </c>
      <c r="J14" s="417">
        <f>H14*0.1</f>
        <v>168000</v>
      </c>
      <c r="K14" s="417">
        <f>SUM(I14:J14)</f>
        <v>75768000</v>
      </c>
      <c r="L14" s="419" t="s">
        <v>653</v>
      </c>
      <c r="M14" s="424" t="s">
        <v>667</v>
      </c>
    </row>
    <row r="15" spans="1:13" ht="34">
      <c r="A15" s="414">
        <v>7</v>
      </c>
      <c r="B15" s="563"/>
      <c r="C15" s="423" t="s">
        <v>669</v>
      </c>
      <c r="D15" s="414" t="s">
        <v>651</v>
      </c>
      <c r="E15" s="414">
        <v>2026</v>
      </c>
      <c r="F15" s="414">
        <v>15</v>
      </c>
      <c r="G15" s="414" t="s">
        <v>518</v>
      </c>
      <c r="H15" s="417">
        <v>10300000</v>
      </c>
      <c r="I15" s="418">
        <f>H15*F15</f>
        <v>154500000</v>
      </c>
      <c r="J15" s="417">
        <v>0</v>
      </c>
      <c r="K15" s="417">
        <f>SUM(I15:J15)</f>
        <v>154500000</v>
      </c>
      <c r="L15" s="419" t="s">
        <v>647</v>
      </c>
      <c r="M15" s="424" t="s">
        <v>670</v>
      </c>
    </row>
    <row r="16" spans="1:13" ht="68">
      <c r="A16" s="414">
        <v>8</v>
      </c>
      <c r="B16" s="563"/>
      <c r="C16" s="423" t="s">
        <v>671</v>
      </c>
      <c r="D16" s="414" t="s">
        <v>651</v>
      </c>
      <c r="E16" s="414">
        <v>2026</v>
      </c>
      <c r="F16" s="414">
        <v>10</v>
      </c>
      <c r="G16" s="414" t="s">
        <v>518</v>
      </c>
      <c r="H16" s="417">
        <v>37500000</v>
      </c>
      <c r="I16" s="418">
        <f t="shared" ref="I16:I20" si="6">H16*F16</f>
        <v>375000000</v>
      </c>
      <c r="J16" s="417">
        <v>0</v>
      </c>
      <c r="K16" s="417">
        <f t="shared" ref="K16:K20" si="7">SUM(I16:J16)</f>
        <v>375000000</v>
      </c>
      <c r="L16" s="419" t="s">
        <v>672</v>
      </c>
      <c r="M16" s="554" t="s">
        <v>673</v>
      </c>
    </row>
    <row r="17" spans="1:13" ht="51">
      <c r="A17" s="414">
        <v>9</v>
      </c>
      <c r="B17" s="563"/>
      <c r="C17" s="423" t="s">
        <v>674</v>
      </c>
      <c r="D17" s="414" t="s">
        <v>651</v>
      </c>
      <c r="E17" s="414">
        <v>2026</v>
      </c>
      <c r="F17" s="414">
        <v>4</v>
      </c>
      <c r="G17" s="414" t="s">
        <v>518</v>
      </c>
      <c r="H17" s="417">
        <v>35900000</v>
      </c>
      <c r="I17" s="418">
        <f t="shared" si="6"/>
        <v>143600000</v>
      </c>
      <c r="J17" s="417">
        <v>0</v>
      </c>
      <c r="K17" s="417">
        <f t="shared" si="7"/>
        <v>143600000</v>
      </c>
      <c r="L17" s="419" t="s">
        <v>672</v>
      </c>
      <c r="M17" s="564"/>
    </row>
    <row r="18" spans="1:13" ht="17">
      <c r="A18" s="414">
        <v>10</v>
      </c>
      <c r="B18" s="563"/>
      <c r="C18" s="423" t="s">
        <v>675</v>
      </c>
      <c r="D18" s="414" t="s">
        <v>651</v>
      </c>
      <c r="E18" s="414">
        <v>2026</v>
      </c>
      <c r="F18" s="414">
        <v>3</v>
      </c>
      <c r="G18" s="414" t="s">
        <v>518</v>
      </c>
      <c r="H18" s="417">
        <v>13600000</v>
      </c>
      <c r="I18" s="418">
        <f t="shared" si="6"/>
        <v>40800000</v>
      </c>
      <c r="J18" s="417">
        <v>0</v>
      </c>
      <c r="K18" s="417">
        <f t="shared" si="7"/>
        <v>40800000</v>
      </c>
      <c r="L18" s="419" t="s">
        <v>647</v>
      </c>
      <c r="M18" s="564"/>
    </row>
    <row r="19" spans="1:13" ht="51">
      <c r="A19" s="414">
        <v>11</v>
      </c>
      <c r="B19" s="563"/>
      <c r="C19" s="423" t="s">
        <v>676</v>
      </c>
      <c r="D19" s="414" t="s">
        <v>651</v>
      </c>
      <c r="E19" s="414">
        <v>2026</v>
      </c>
      <c r="F19" s="414">
        <v>4</v>
      </c>
      <c r="G19" s="414" t="s">
        <v>518</v>
      </c>
      <c r="H19" s="417">
        <v>11500000</v>
      </c>
      <c r="I19" s="418">
        <f t="shared" si="6"/>
        <v>46000000</v>
      </c>
      <c r="J19" s="417">
        <v>0</v>
      </c>
      <c r="K19" s="417">
        <f t="shared" si="7"/>
        <v>46000000</v>
      </c>
      <c r="L19" s="419" t="s">
        <v>672</v>
      </c>
      <c r="M19" s="564"/>
    </row>
    <row r="20" spans="1:13" ht="62.5" customHeight="1">
      <c r="A20" s="414">
        <v>12</v>
      </c>
      <c r="B20" s="551"/>
      <c r="C20" s="423" t="s">
        <v>677</v>
      </c>
      <c r="D20" s="414" t="s">
        <v>651</v>
      </c>
      <c r="E20" s="414">
        <v>2026</v>
      </c>
      <c r="F20" s="414">
        <v>4</v>
      </c>
      <c r="G20" s="414" t="s">
        <v>518</v>
      </c>
      <c r="H20" s="417">
        <v>11500000</v>
      </c>
      <c r="I20" s="418">
        <f t="shared" si="6"/>
        <v>46000000</v>
      </c>
      <c r="J20" s="417">
        <v>0</v>
      </c>
      <c r="K20" s="417">
        <f t="shared" si="7"/>
        <v>46000000</v>
      </c>
      <c r="L20" s="419" t="s">
        <v>672</v>
      </c>
      <c r="M20" s="555"/>
    </row>
    <row r="21" spans="1:13" ht="51">
      <c r="A21" s="414">
        <v>13</v>
      </c>
      <c r="B21" s="415" t="s">
        <v>678</v>
      </c>
      <c r="C21" s="423" t="s">
        <v>679</v>
      </c>
      <c r="D21" s="414" t="s">
        <v>651</v>
      </c>
      <c r="E21" s="414">
        <v>2026</v>
      </c>
      <c r="F21" s="414">
        <v>1</v>
      </c>
      <c r="G21" s="414" t="s">
        <v>680</v>
      </c>
      <c r="H21" s="51">
        <v>113400000</v>
      </c>
      <c r="I21" s="418">
        <f>H21*F21</f>
        <v>113400000</v>
      </c>
      <c r="J21" s="417">
        <f>H21*0.1</f>
        <v>11340000</v>
      </c>
      <c r="K21" s="417">
        <f>SUM(I21:J21)</f>
        <v>124740000</v>
      </c>
      <c r="L21" s="419" t="s">
        <v>681</v>
      </c>
      <c r="M21" s="424" t="s">
        <v>682</v>
      </c>
    </row>
    <row r="22" spans="1:13" ht="34">
      <c r="A22" s="414">
        <v>14</v>
      </c>
      <c r="B22" s="565" t="s">
        <v>683</v>
      </c>
      <c r="C22" s="566" t="s">
        <v>684</v>
      </c>
      <c r="D22" s="414" t="s">
        <v>685</v>
      </c>
      <c r="E22" s="414">
        <v>2026</v>
      </c>
      <c r="F22" s="414">
        <v>12</v>
      </c>
      <c r="G22" s="414" t="s">
        <v>686</v>
      </c>
      <c r="H22" s="425">
        <v>12410000</v>
      </c>
      <c r="I22" s="418">
        <f>H22*F22</f>
        <v>148920000</v>
      </c>
      <c r="J22" s="417">
        <f>I22*0.1</f>
        <v>14892000</v>
      </c>
      <c r="K22" s="417">
        <f t="shared" ref="K22:K24" si="8">SUM(I22:J22)</f>
        <v>163812000</v>
      </c>
      <c r="L22" s="419" t="s">
        <v>687</v>
      </c>
      <c r="M22" s="424" t="s">
        <v>688</v>
      </c>
    </row>
    <row r="23" spans="1:13" ht="25.25" customHeight="1">
      <c r="A23" s="414">
        <v>15</v>
      </c>
      <c r="B23" s="565"/>
      <c r="C23" s="567"/>
      <c r="D23" s="414" t="s">
        <v>685</v>
      </c>
      <c r="E23" s="414">
        <v>2026</v>
      </c>
      <c r="F23" s="414">
        <v>12</v>
      </c>
      <c r="G23" s="414" t="s">
        <v>686</v>
      </c>
      <c r="H23" s="417">
        <v>5454545</v>
      </c>
      <c r="I23" s="418">
        <f t="shared" si="0"/>
        <v>65454540</v>
      </c>
      <c r="J23" s="417">
        <f>I23*0.1</f>
        <v>6545454</v>
      </c>
      <c r="K23" s="417">
        <f t="shared" si="8"/>
        <v>71999994</v>
      </c>
      <c r="L23" s="419" t="s">
        <v>687</v>
      </c>
      <c r="M23" s="424" t="s">
        <v>689</v>
      </c>
    </row>
    <row r="24" spans="1:13" ht="34">
      <c r="A24" s="414">
        <v>16</v>
      </c>
      <c r="B24" s="415" t="s">
        <v>690</v>
      </c>
      <c r="C24" s="416" t="s">
        <v>691</v>
      </c>
      <c r="D24" s="414" t="s">
        <v>23</v>
      </c>
      <c r="E24" s="414">
        <v>2026</v>
      </c>
      <c r="F24" s="414">
        <v>1</v>
      </c>
      <c r="G24" s="414" t="s">
        <v>692</v>
      </c>
      <c r="H24" s="417">
        <f>49000000/2</f>
        <v>24500000</v>
      </c>
      <c r="I24" s="418">
        <f t="shared" si="0"/>
        <v>24500000</v>
      </c>
      <c r="J24" s="417">
        <f>I24*0.1</f>
        <v>2450000</v>
      </c>
      <c r="K24" s="417">
        <f t="shared" si="8"/>
        <v>26950000</v>
      </c>
      <c r="L24" s="419" t="s">
        <v>681</v>
      </c>
      <c r="M24" s="422" t="s">
        <v>693</v>
      </c>
    </row>
    <row r="25" spans="1:13" ht="17">
      <c r="A25" s="414">
        <v>17</v>
      </c>
      <c r="B25" s="565" t="s">
        <v>694</v>
      </c>
      <c r="C25" s="416" t="s">
        <v>695</v>
      </c>
      <c r="D25" s="414" t="s">
        <v>645</v>
      </c>
      <c r="E25" s="414">
        <v>2026</v>
      </c>
      <c r="F25" s="414">
        <v>1</v>
      </c>
      <c r="G25" s="414" t="s">
        <v>696</v>
      </c>
      <c r="H25" s="417">
        <v>24000000</v>
      </c>
      <c r="I25" s="418">
        <f t="shared" si="0"/>
        <v>24000000</v>
      </c>
      <c r="J25" s="417">
        <f>H25*0.1</f>
        <v>2400000</v>
      </c>
      <c r="K25" s="417">
        <f t="shared" si="2"/>
        <v>26400000</v>
      </c>
      <c r="L25" s="419" t="s">
        <v>672</v>
      </c>
      <c r="M25" s="422" t="s">
        <v>697</v>
      </c>
    </row>
    <row r="26" spans="1:13" ht="34">
      <c r="A26" s="414">
        <v>18</v>
      </c>
      <c r="B26" s="565"/>
      <c r="C26" s="416" t="s">
        <v>698</v>
      </c>
      <c r="D26" s="414" t="s">
        <v>645</v>
      </c>
      <c r="E26" s="414">
        <v>2026</v>
      </c>
      <c r="F26" s="414">
        <v>1</v>
      </c>
      <c r="G26" s="414" t="s">
        <v>696</v>
      </c>
      <c r="H26" s="417">
        <v>5454545</v>
      </c>
      <c r="I26" s="418">
        <f t="shared" si="0"/>
        <v>5454545</v>
      </c>
      <c r="J26" s="417">
        <f>H26*0.1</f>
        <v>545454.5</v>
      </c>
      <c r="K26" s="417">
        <f>SUM(I26:J26)</f>
        <v>5999999.5</v>
      </c>
      <c r="L26" s="419" t="s">
        <v>653</v>
      </c>
      <c r="M26" s="424" t="s">
        <v>699</v>
      </c>
    </row>
    <row r="27" spans="1:13" ht="34">
      <c r="A27" s="414">
        <v>19</v>
      </c>
      <c r="B27" s="565"/>
      <c r="C27" s="416" t="s">
        <v>700</v>
      </c>
      <c r="D27" s="414" t="s">
        <v>645</v>
      </c>
      <c r="E27" s="414">
        <v>2026</v>
      </c>
      <c r="F27" s="414">
        <v>1</v>
      </c>
      <c r="G27" s="414" t="s">
        <v>696</v>
      </c>
      <c r="H27" s="417">
        <f>6540000/1.1</f>
        <v>5945454.5454545449</v>
      </c>
      <c r="I27" s="418">
        <f t="shared" si="0"/>
        <v>5945454.5454545449</v>
      </c>
      <c r="J27" s="417">
        <f>H27*0.1</f>
        <v>594545.45454545447</v>
      </c>
      <c r="K27" s="417">
        <f t="shared" si="2"/>
        <v>6539999.9999999991</v>
      </c>
      <c r="L27" s="419" t="s">
        <v>701</v>
      </c>
      <c r="M27" s="422" t="s">
        <v>702</v>
      </c>
    </row>
    <row r="28" spans="1:13" ht="17">
      <c r="A28" s="414">
        <v>20</v>
      </c>
      <c r="B28" s="565"/>
      <c r="C28" s="416" t="s">
        <v>703</v>
      </c>
      <c r="D28" s="414" t="s">
        <v>645</v>
      </c>
      <c r="E28" s="414">
        <v>2026</v>
      </c>
      <c r="F28" s="414">
        <v>1</v>
      </c>
      <c r="G28" s="414" t="s">
        <v>696</v>
      </c>
      <c r="H28" s="417">
        <v>5454545</v>
      </c>
      <c r="I28" s="418">
        <f t="shared" si="0"/>
        <v>5454545</v>
      </c>
      <c r="J28" s="417">
        <f t="shared" ref="J28:J29" si="9">H28*0.1</f>
        <v>545454.5</v>
      </c>
      <c r="K28" s="417">
        <f t="shared" ref="K28:K30" si="10">SUM(I28:J28)</f>
        <v>5999999.5</v>
      </c>
      <c r="L28" s="419" t="s">
        <v>664</v>
      </c>
      <c r="M28" s="422" t="s">
        <v>704</v>
      </c>
    </row>
    <row r="29" spans="1:13" ht="21" customHeight="1">
      <c r="A29" s="414">
        <v>21</v>
      </c>
      <c r="B29" s="415" t="s">
        <v>705</v>
      </c>
      <c r="C29" s="416" t="s">
        <v>706</v>
      </c>
      <c r="D29" s="414" t="s">
        <v>645</v>
      </c>
      <c r="E29" s="414">
        <v>2026</v>
      </c>
      <c r="F29" s="414">
        <v>1</v>
      </c>
      <c r="G29" s="414" t="s">
        <v>696</v>
      </c>
      <c r="H29" s="417">
        <v>48000000</v>
      </c>
      <c r="I29" s="418">
        <f t="shared" si="0"/>
        <v>48000000</v>
      </c>
      <c r="J29" s="417">
        <f t="shared" si="9"/>
        <v>4800000</v>
      </c>
      <c r="K29" s="417">
        <f t="shared" si="10"/>
        <v>52800000</v>
      </c>
      <c r="L29" s="419" t="s">
        <v>707</v>
      </c>
      <c r="M29" s="422" t="s">
        <v>708</v>
      </c>
    </row>
    <row r="30" spans="1:13" ht="34">
      <c r="A30" s="414">
        <v>22</v>
      </c>
      <c r="B30" s="48" t="s">
        <v>709</v>
      </c>
      <c r="C30" s="416" t="s">
        <v>710</v>
      </c>
      <c r="D30" s="414" t="s">
        <v>23</v>
      </c>
      <c r="E30" s="414">
        <v>2026</v>
      </c>
      <c r="F30" s="414">
        <v>1</v>
      </c>
      <c r="G30" s="426" t="s">
        <v>652</v>
      </c>
      <c r="H30" s="427">
        <v>60000000</v>
      </c>
      <c r="I30" s="418">
        <f t="shared" si="0"/>
        <v>60000000</v>
      </c>
      <c r="J30" s="417">
        <f t="shared" ref="J30:J46" si="11">I30*0.1</f>
        <v>6000000</v>
      </c>
      <c r="K30" s="417">
        <f t="shared" si="10"/>
        <v>66000000</v>
      </c>
      <c r="L30" s="419" t="s">
        <v>707</v>
      </c>
      <c r="M30" s="424" t="s">
        <v>711</v>
      </c>
    </row>
    <row r="31" spans="1:13" ht="31.25" customHeight="1">
      <c r="A31" s="414">
        <v>23</v>
      </c>
      <c r="B31" s="550" t="s">
        <v>712</v>
      </c>
      <c r="C31" s="416" t="s">
        <v>713</v>
      </c>
      <c r="D31" s="414" t="s">
        <v>651</v>
      </c>
      <c r="E31" s="414">
        <v>2026</v>
      </c>
      <c r="F31" s="414">
        <v>3</v>
      </c>
      <c r="G31" s="414" t="s">
        <v>652</v>
      </c>
      <c r="H31" s="417">
        <v>11363636</v>
      </c>
      <c r="I31" s="418">
        <f t="shared" si="0"/>
        <v>34090908</v>
      </c>
      <c r="J31" s="417">
        <f t="shared" si="11"/>
        <v>3409090.8000000003</v>
      </c>
      <c r="K31" s="417">
        <f t="shared" si="2"/>
        <v>37499998.799999997</v>
      </c>
      <c r="L31" s="419" t="s">
        <v>661</v>
      </c>
      <c r="M31" s="424" t="s">
        <v>667</v>
      </c>
    </row>
    <row r="32" spans="1:13" ht="34">
      <c r="A32" s="414">
        <v>24</v>
      </c>
      <c r="B32" s="563"/>
      <c r="C32" s="416" t="s">
        <v>714</v>
      </c>
      <c r="D32" s="414" t="s">
        <v>651</v>
      </c>
      <c r="E32" s="414">
        <v>2026</v>
      </c>
      <c r="F32" s="414">
        <v>7</v>
      </c>
      <c r="G32" s="426" t="s">
        <v>652</v>
      </c>
      <c r="H32" s="427">
        <v>2050000</v>
      </c>
      <c r="I32" s="418">
        <f>H32*F32</f>
        <v>14350000</v>
      </c>
      <c r="J32" s="417">
        <f t="shared" si="11"/>
        <v>1435000</v>
      </c>
      <c r="K32" s="417">
        <f t="shared" ref="K32" si="12">SUM(I32:J32)</f>
        <v>15785000</v>
      </c>
      <c r="L32" s="419" t="s">
        <v>661</v>
      </c>
      <c r="M32" s="424" t="s">
        <v>667</v>
      </c>
    </row>
    <row r="33" spans="1:13" ht="22.25" customHeight="1">
      <c r="A33" s="414">
        <v>25</v>
      </c>
      <c r="B33" s="563"/>
      <c r="C33" s="416" t="s">
        <v>715</v>
      </c>
      <c r="D33" s="414" t="s">
        <v>651</v>
      </c>
      <c r="E33" s="414">
        <v>2026</v>
      </c>
      <c r="F33" s="414">
        <v>1</v>
      </c>
      <c r="G33" s="414" t="s">
        <v>652</v>
      </c>
      <c r="H33" s="417">
        <v>25000000</v>
      </c>
      <c r="I33" s="418">
        <f t="shared" si="0"/>
        <v>25000000</v>
      </c>
      <c r="J33" s="417">
        <f t="shared" si="11"/>
        <v>2500000</v>
      </c>
      <c r="K33" s="417">
        <f t="shared" ref="K33:K35" si="13">SUM(I33:J33)</f>
        <v>27500000</v>
      </c>
      <c r="L33" s="419" t="s">
        <v>661</v>
      </c>
      <c r="M33" s="424" t="s">
        <v>667</v>
      </c>
    </row>
    <row r="34" spans="1:13" ht="22.25" customHeight="1">
      <c r="A34" s="414">
        <v>26</v>
      </c>
      <c r="B34" s="563"/>
      <c r="C34" s="416" t="s">
        <v>716</v>
      </c>
      <c r="D34" s="414" t="s">
        <v>651</v>
      </c>
      <c r="E34" s="414">
        <v>2026</v>
      </c>
      <c r="F34" s="414">
        <v>1</v>
      </c>
      <c r="G34" s="414" t="s">
        <v>652</v>
      </c>
      <c r="H34" s="427">
        <v>30000000</v>
      </c>
      <c r="I34" s="418">
        <f t="shared" si="0"/>
        <v>30000000</v>
      </c>
      <c r="J34" s="417">
        <f t="shared" si="11"/>
        <v>3000000</v>
      </c>
      <c r="K34" s="417">
        <f t="shared" si="13"/>
        <v>33000000</v>
      </c>
      <c r="L34" s="419" t="s">
        <v>661</v>
      </c>
      <c r="M34" s="424" t="s">
        <v>717</v>
      </c>
    </row>
    <row r="35" spans="1:13" ht="22.25" customHeight="1">
      <c r="A35" s="414">
        <v>27</v>
      </c>
      <c r="B35" s="563"/>
      <c r="C35" s="416" t="s">
        <v>718</v>
      </c>
      <c r="D35" s="414" t="s">
        <v>651</v>
      </c>
      <c r="E35" s="414">
        <v>2026</v>
      </c>
      <c r="F35" s="414">
        <v>1</v>
      </c>
      <c r="G35" s="414" t="s">
        <v>652</v>
      </c>
      <c r="H35" s="417">
        <v>3450000</v>
      </c>
      <c r="I35" s="418">
        <f t="shared" si="0"/>
        <v>3450000</v>
      </c>
      <c r="J35" s="417">
        <f t="shared" si="11"/>
        <v>345000</v>
      </c>
      <c r="K35" s="417">
        <f t="shared" si="13"/>
        <v>3795000</v>
      </c>
      <c r="L35" s="419" t="s">
        <v>661</v>
      </c>
      <c r="M35" s="428" t="s">
        <v>719</v>
      </c>
    </row>
    <row r="36" spans="1:13" ht="22.25" customHeight="1">
      <c r="A36" s="414">
        <v>28</v>
      </c>
      <c r="B36" s="563"/>
      <c r="C36" s="416" t="s">
        <v>720</v>
      </c>
      <c r="D36" s="414" t="s">
        <v>651</v>
      </c>
      <c r="E36" s="414">
        <v>2026</v>
      </c>
      <c r="F36" s="414">
        <v>2</v>
      </c>
      <c r="G36" s="414" t="s">
        <v>652</v>
      </c>
      <c r="H36" s="427">
        <v>700000</v>
      </c>
      <c r="I36" s="418">
        <f t="shared" si="0"/>
        <v>1400000</v>
      </c>
      <c r="J36" s="417">
        <f t="shared" si="11"/>
        <v>140000</v>
      </c>
      <c r="K36" s="417">
        <f t="shared" ref="K36:K46" si="14">SUM(I36:J36)</f>
        <v>1540000</v>
      </c>
      <c r="L36" s="419" t="s">
        <v>661</v>
      </c>
      <c r="M36" s="554" t="s">
        <v>721</v>
      </c>
    </row>
    <row r="37" spans="1:13" ht="22.25" customHeight="1">
      <c r="A37" s="414">
        <v>29</v>
      </c>
      <c r="B37" s="563"/>
      <c r="C37" s="429" t="s">
        <v>722</v>
      </c>
      <c r="D37" s="414" t="s">
        <v>651</v>
      </c>
      <c r="E37" s="414">
        <v>2026</v>
      </c>
      <c r="F37" s="414">
        <v>1</v>
      </c>
      <c r="G37" s="414" t="s">
        <v>652</v>
      </c>
      <c r="H37" s="430">
        <v>35000000</v>
      </c>
      <c r="I37" s="418">
        <f t="shared" si="0"/>
        <v>35000000</v>
      </c>
      <c r="J37" s="417">
        <f t="shared" si="11"/>
        <v>3500000</v>
      </c>
      <c r="K37" s="417">
        <f t="shared" si="14"/>
        <v>38500000</v>
      </c>
      <c r="L37" s="419" t="s">
        <v>653</v>
      </c>
      <c r="M37" s="564"/>
    </row>
    <row r="38" spans="1:13" ht="22.25" customHeight="1">
      <c r="A38" s="414">
        <v>30</v>
      </c>
      <c r="B38" s="563"/>
      <c r="C38" s="429" t="s">
        <v>723</v>
      </c>
      <c r="D38" s="414" t="s">
        <v>651</v>
      </c>
      <c r="E38" s="414">
        <v>2026</v>
      </c>
      <c r="F38" s="414">
        <v>1</v>
      </c>
      <c r="G38" s="414" t="s">
        <v>652</v>
      </c>
      <c r="H38" s="430">
        <v>10000000</v>
      </c>
      <c r="I38" s="418">
        <f t="shared" si="0"/>
        <v>10000000</v>
      </c>
      <c r="J38" s="417">
        <f t="shared" si="11"/>
        <v>1000000</v>
      </c>
      <c r="K38" s="417">
        <f t="shared" si="14"/>
        <v>11000000</v>
      </c>
      <c r="L38" s="419" t="s">
        <v>653</v>
      </c>
      <c r="M38" s="555"/>
    </row>
    <row r="39" spans="1:13" ht="22.25" customHeight="1">
      <c r="A39" s="414">
        <v>31</v>
      </c>
      <c r="B39" s="563"/>
      <c r="C39" s="429" t="s">
        <v>724</v>
      </c>
      <c r="D39" s="414" t="s">
        <v>651</v>
      </c>
      <c r="E39" s="414">
        <v>2026</v>
      </c>
      <c r="F39" s="414">
        <v>1</v>
      </c>
      <c r="G39" s="414" t="s">
        <v>725</v>
      </c>
      <c r="H39" s="430">
        <v>40000000</v>
      </c>
      <c r="I39" s="418">
        <f t="shared" si="0"/>
        <v>40000000</v>
      </c>
      <c r="J39" s="417">
        <f t="shared" si="11"/>
        <v>4000000</v>
      </c>
      <c r="K39" s="417">
        <f t="shared" si="14"/>
        <v>44000000</v>
      </c>
      <c r="L39" s="419" t="s">
        <v>653</v>
      </c>
      <c r="M39" s="424" t="s">
        <v>726</v>
      </c>
    </row>
    <row r="40" spans="1:13" ht="37.75" customHeight="1">
      <c r="A40" s="414">
        <v>32</v>
      </c>
      <c r="B40" s="551"/>
      <c r="C40" s="429" t="s">
        <v>727</v>
      </c>
      <c r="D40" s="414" t="s">
        <v>651</v>
      </c>
      <c r="E40" s="414">
        <v>2026</v>
      </c>
      <c r="F40" s="414">
        <v>1</v>
      </c>
      <c r="G40" s="414" t="s">
        <v>652</v>
      </c>
      <c r="H40" s="430">
        <v>30100000</v>
      </c>
      <c r="I40" s="418">
        <f t="shared" si="0"/>
        <v>30100000</v>
      </c>
      <c r="J40" s="417">
        <f t="shared" si="11"/>
        <v>3010000</v>
      </c>
      <c r="K40" s="417">
        <f t="shared" si="14"/>
        <v>33110000</v>
      </c>
      <c r="L40" s="419" t="s">
        <v>653</v>
      </c>
      <c r="M40" s="424" t="s">
        <v>728</v>
      </c>
    </row>
    <row r="41" spans="1:13" ht="22.25" customHeight="1">
      <c r="A41" s="414">
        <v>33</v>
      </c>
      <c r="B41" s="421" t="s">
        <v>729</v>
      </c>
      <c r="C41" s="416" t="s">
        <v>715</v>
      </c>
      <c r="D41" s="414" t="s">
        <v>651</v>
      </c>
      <c r="E41" s="414">
        <v>2026</v>
      </c>
      <c r="F41" s="414">
        <v>5</v>
      </c>
      <c r="G41" s="414" t="s">
        <v>652</v>
      </c>
      <c r="H41" s="417">
        <v>25000000</v>
      </c>
      <c r="I41" s="418">
        <f t="shared" si="0"/>
        <v>125000000</v>
      </c>
      <c r="J41" s="417">
        <f t="shared" si="11"/>
        <v>12500000</v>
      </c>
      <c r="K41" s="417">
        <f t="shared" si="14"/>
        <v>137500000</v>
      </c>
      <c r="L41" s="419" t="s">
        <v>647</v>
      </c>
      <c r="M41" s="424" t="s">
        <v>730</v>
      </c>
    </row>
    <row r="42" spans="1:13" ht="22.25" customHeight="1">
      <c r="A42" s="414">
        <v>34</v>
      </c>
      <c r="B42" s="550" t="s">
        <v>731</v>
      </c>
      <c r="C42" s="429" t="s">
        <v>732</v>
      </c>
      <c r="D42" s="414" t="s">
        <v>651</v>
      </c>
      <c r="E42" s="414">
        <v>2026</v>
      </c>
      <c r="F42" s="414">
        <v>1</v>
      </c>
      <c r="G42" s="414" t="s">
        <v>652</v>
      </c>
      <c r="H42" s="430">
        <v>80000000</v>
      </c>
      <c r="I42" s="418">
        <f t="shared" si="0"/>
        <v>80000000</v>
      </c>
      <c r="J42" s="417">
        <f t="shared" si="11"/>
        <v>8000000</v>
      </c>
      <c r="K42" s="417">
        <f t="shared" si="14"/>
        <v>88000000</v>
      </c>
      <c r="L42" s="419" t="s">
        <v>672</v>
      </c>
      <c r="M42" s="554" t="s">
        <v>733</v>
      </c>
    </row>
    <row r="43" spans="1:13" ht="33.5" customHeight="1">
      <c r="A43" s="414">
        <v>35</v>
      </c>
      <c r="B43" s="563"/>
      <c r="C43" s="429" t="s">
        <v>734</v>
      </c>
      <c r="D43" s="414" t="s">
        <v>651</v>
      </c>
      <c r="E43" s="414">
        <v>2026</v>
      </c>
      <c r="F43" s="414">
        <v>1</v>
      </c>
      <c r="G43" s="414" t="s">
        <v>680</v>
      </c>
      <c r="H43" s="417">
        <v>250000000</v>
      </c>
      <c r="I43" s="418">
        <f t="shared" si="0"/>
        <v>250000000</v>
      </c>
      <c r="J43" s="417">
        <f t="shared" si="11"/>
        <v>25000000</v>
      </c>
      <c r="K43" s="417">
        <f t="shared" si="14"/>
        <v>275000000</v>
      </c>
      <c r="L43" s="419" t="s">
        <v>672</v>
      </c>
      <c r="M43" s="564"/>
    </row>
    <row r="44" spans="1:13" ht="22.25" customHeight="1">
      <c r="A44" s="414">
        <v>36</v>
      </c>
      <c r="B44" s="563"/>
      <c r="C44" s="429" t="s">
        <v>735</v>
      </c>
      <c r="D44" s="414" t="s">
        <v>651</v>
      </c>
      <c r="E44" s="414">
        <v>2026</v>
      </c>
      <c r="F44" s="414">
        <v>1</v>
      </c>
      <c r="G44" s="414" t="s">
        <v>652</v>
      </c>
      <c r="H44" s="417">
        <v>23000000</v>
      </c>
      <c r="I44" s="418">
        <f t="shared" si="0"/>
        <v>23000000</v>
      </c>
      <c r="J44" s="417">
        <f t="shared" si="11"/>
        <v>2300000</v>
      </c>
      <c r="K44" s="417">
        <f t="shared" si="14"/>
        <v>25300000</v>
      </c>
      <c r="L44" s="419" t="s">
        <v>672</v>
      </c>
      <c r="M44" s="564"/>
    </row>
    <row r="45" spans="1:13" ht="22.25" customHeight="1">
      <c r="A45" s="414">
        <v>37</v>
      </c>
      <c r="B45" s="563"/>
      <c r="C45" s="429" t="s">
        <v>736</v>
      </c>
      <c r="D45" s="414" t="s">
        <v>651</v>
      </c>
      <c r="E45" s="414">
        <v>2026</v>
      </c>
      <c r="F45" s="414">
        <v>6</v>
      </c>
      <c r="G45" s="414" t="s">
        <v>652</v>
      </c>
      <c r="H45" s="417">
        <f>6*7000000</f>
        <v>42000000</v>
      </c>
      <c r="I45" s="418">
        <f t="shared" si="0"/>
        <v>252000000</v>
      </c>
      <c r="J45" s="417">
        <f t="shared" si="11"/>
        <v>25200000</v>
      </c>
      <c r="K45" s="417">
        <f t="shared" si="14"/>
        <v>277200000</v>
      </c>
      <c r="L45" s="419" t="s">
        <v>672</v>
      </c>
      <c r="M45" s="564"/>
    </row>
    <row r="46" spans="1:13" ht="22.25" customHeight="1">
      <c r="A46" s="414">
        <v>38</v>
      </c>
      <c r="B46" s="551"/>
      <c r="C46" s="429" t="s">
        <v>737</v>
      </c>
      <c r="D46" s="414" t="s">
        <v>651</v>
      </c>
      <c r="E46" s="414">
        <v>2026</v>
      </c>
      <c r="F46" s="414">
        <v>2</v>
      </c>
      <c r="G46" s="414" t="s">
        <v>652</v>
      </c>
      <c r="H46" s="417">
        <f>2*7000000</f>
        <v>14000000</v>
      </c>
      <c r="I46" s="418">
        <f t="shared" si="0"/>
        <v>28000000</v>
      </c>
      <c r="J46" s="417">
        <f t="shared" si="11"/>
        <v>2800000</v>
      </c>
      <c r="K46" s="417">
        <f t="shared" si="14"/>
        <v>30800000</v>
      </c>
      <c r="L46" s="419" t="s">
        <v>672</v>
      </c>
      <c r="M46" s="555"/>
    </row>
    <row r="47" spans="1:13" ht="51.5" customHeight="1">
      <c r="A47" s="414">
        <v>39</v>
      </c>
      <c r="B47" s="48" t="s">
        <v>738</v>
      </c>
      <c r="C47" s="416" t="s">
        <v>739</v>
      </c>
      <c r="D47" s="414" t="s">
        <v>645</v>
      </c>
      <c r="E47" s="414">
        <v>2026</v>
      </c>
      <c r="F47" s="414">
        <v>1</v>
      </c>
      <c r="G47" s="414" t="s">
        <v>680</v>
      </c>
      <c r="H47" s="431">
        <v>450000000</v>
      </c>
      <c r="I47" s="418">
        <f>H47*F47</f>
        <v>450000000</v>
      </c>
      <c r="J47" s="417">
        <f>I47*0.1</f>
        <v>45000000</v>
      </c>
      <c r="K47" s="417">
        <f>SUM(I47:J47)</f>
        <v>495000000</v>
      </c>
      <c r="L47" s="432" t="s">
        <v>740</v>
      </c>
      <c r="M47" s="424" t="s">
        <v>741</v>
      </c>
    </row>
    <row r="48" spans="1:13" ht="70.75" customHeight="1">
      <c r="A48" s="414">
        <v>40</v>
      </c>
      <c r="B48" s="48" t="s">
        <v>742</v>
      </c>
      <c r="C48" s="433" t="s">
        <v>743</v>
      </c>
      <c r="D48" s="414" t="s">
        <v>645</v>
      </c>
      <c r="E48" s="414">
        <v>2026</v>
      </c>
      <c r="F48" s="414">
        <v>1</v>
      </c>
      <c r="G48" s="414" t="s">
        <v>680</v>
      </c>
      <c r="H48" s="431">
        <v>250000000</v>
      </c>
      <c r="I48" s="418">
        <f>H48*F48</f>
        <v>250000000</v>
      </c>
      <c r="J48" s="417">
        <f>I48*0.1</f>
        <v>25000000</v>
      </c>
      <c r="K48" s="417">
        <f>SUM(I48:J48)</f>
        <v>275000000</v>
      </c>
      <c r="L48" s="419" t="s">
        <v>744</v>
      </c>
      <c r="M48" s="424" t="s">
        <v>745</v>
      </c>
    </row>
    <row r="49" spans="1:13" ht="68">
      <c r="A49" s="414">
        <v>41</v>
      </c>
      <c r="B49" s="558" t="s">
        <v>746</v>
      </c>
      <c r="C49" s="429" t="s">
        <v>747</v>
      </c>
      <c r="D49" s="414" t="s">
        <v>645</v>
      </c>
      <c r="E49" s="414">
        <v>2026</v>
      </c>
      <c r="F49" s="414">
        <v>1</v>
      </c>
      <c r="G49" s="414" t="s">
        <v>680</v>
      </c>
      <c r="H49" s="417">
        <v>5971000000</v>
      </c>
      <c r="I49" s="418">
        <f t="shared" ref="I49:I50" si="15">H49*F49</f>
        <v>5971000000</v>
      </c>
      <c r="J49" s="417">
        <f t="shared" ref="J49:J58" si="16">I49*0.1</f>
        <v>597100000</v>
      </c>
      <c r="K49" s="417">
        <f>SUM(I49:J49)</f>
        <v>6568100000</v>
      </c>
      <c r="L49" s="419" t="s">
        <v>661</v>
      </c>
      <c r="M49" s="50" t="s">
        <v>748</v>
      </c>
    </row>
    <row r="50" spans="1:13" ht="34">
      <c r="A50" s="414"/>
      <c r="B50" s="559"/>
      <c r="C50" s="429" t="s">
        <v>749</v>
      </c>
      <c r="D50" s="414" t="s">
        <v>645</v>
      </c>
      <c r="E50" s="414">
        <v>2026</v>
      </c>
      <c r="F50" s="414">
        <v>1</v>
      </c>
      <c r="G50" s="414" t="s">
        <v>680</v>
      </c>
      <c r="H50" s="417">
        <v>200000000</v>
      </c>
      <c r="I50" s="418">
        <f t="shared" si="15"/>
        <v>200000000</v>
      </c>
      <c r="J50" s="417">
        <f t="shared" si="16"/>
        <v>20000000</v>
      </c>
      <c r="K50" s="417">
        <f>SUM(I50:J50)</f>
        <v>220000000</v>
      </c>
      <c r="L50" s="419"/>
      <c r="M50" s="50"/>
    </row>
    <row r="51" spans="1:13" ht="51">
      <c r="A51" s="414">
        <v>42</v>
      </c>
      <c r="B51" s="52" t="s">
        <v>750</v>
      </c>
      <c r="C51" s="429" t="s">
        <v>751</v>
      </c>
      <c r="D51" s="414" t="s">
        <v>645</v>
      </c>
      <c r="E51" s="414">
        <v>2026</v>
      </c>
      <c r="F51" s="414">
        <v>1</v>
      </c>
      <c r="G51" s="414" t="s">
        <v>680</v>
      </c>
      <c r="H51" s="417">
        <v>0</v>
      </c>
      <c r="I51" s="418">
        <v>0</v>
      </c>
      <c r="J51" s="417">
        <f t="shared" si="16"/>
        <v>0</v>
      </c>
      <c r="K51" s="417">
        <f t="shared" ref="K51:K58" si="17">SUM(I51:J51)</f>
        <v>0</v>
      </c>
      <c r="L51" s="419" t="s">
        <v>672</v>
      </c>
      <c r="M51" s="50" t="s">
        <v>752</v>
      </c>
    </row>
    <row r="52" spans="1:13" ht="50.5" customHeight="1">
      <c r="A52" s="414">
        <v>43</v>
      </c>
      <c r="B52" s="52" t="s">
        <v>753</v>
      </c>
      <c r="C52" s="429" t="s">
        <v>754</v>
      </c>
      <c r="D52" s="414" t="s">
        <v>645</v>
      </c>
      <c r="E52" s="414">
        <v>2026</v>
      </c>
      <c r="F52" s="414">
        <v>1</v>
      </c>
      <c r="G52" s="414" t="s">
        <v>680</v>
      </c>
      <c r="H52" s="417">
        <v>0</v>
      </c>
      <c r="I52" s="418">
        <v>0</v>
      </c>
      <c r="J52" s="417">
        <f t="shared" si="16"/>
        <v>0</v>
      </c>
      <c r="K52" s="417">
        <f t="shared" si="17"/>
        <v>0</v>
      </c>
      <c r="L52" s="419" t="s">
        <v>755</v>
      </c>
      <c r="M52" s="50" t="s">
        <v>756</v>
      </c>
    </row>
    <row r="53" spans="1:13" ht="51">
      <c r="A53" s="414">
        <v>44</v>
      </c>
      <c r="B53" s="415" t="s">
        <v>757</v>
      </c>
      <c r="C53" s="423" t="s">
        <v>758</v>
      </c>
      <c r="D53" s="414" t="s">
        <v>645</v>
      </c>
      <c r="E53" s="414">
        <v>2026</v>
      </c>
      <c r="F53" s="414">
        <v>1</v>
      </c>
      <c r="G53" s="414" t="s">
        <v>680</v>
      </c>
      <c r="H53" s="417">
        <v>0</v>
      </c>
      <c r="I53" s="418">
        <v>0</v>
      </c>
      <c r="J53" s="417">
        <f t="shared" si="16"/>
        <v>0</v>
      </c>
      <c r="K53" s="417">
        <f t="shared" si="17"/>
        <v>0</v>
      </c>
      <c r="L53" s="419"/>
      <c r="M53" s="424" t="s">
        <v>759</v>
      </c>
    </row>
    <row r="54" spans="1:13" ht="62.5" customHeight="1">
      <c r="A54" s="414">
        <v>45</v>
      </c>
      <c r="B54" s="550" t="s">
        <v>760</v>
      </c>
      <c r="C54" s="429" t="s">
        <v>761</v>
      </c>
      <c r="D54" s="414" t="s">
        <v>645</v>
      </c>
      <c r="E54" s="414">
        <v>2026</v>
      </c>
      <c r="F54" s="414">
        <v>1</v>
      </c>
      <c r="G54" s="414" t="s">
        <v>680</v>
      </c>
      <c r="H54" s="417">
        <v>6200000000</v>
      </c>
      <c r="I54" s="418">
        <f t="shared" ref="I54:I58" si="18">H54*F54</f>
        <v>6200000000</v>
      </c>
      <c r="J54" s="417">
        <f t="shared" si="16"/>
        <v>620000000</v>
      </c>
      <c r="K54" s="417">
        <f t="shared" si="17"/>
        <v>6820000000</v>
      </c>
      <c r="L54" s="552" t="s">
        <v>762</v>
      </c>
      <c r="M54" s="554" t="s">
        <v>763</v>
      </c>
    </row>
    <row r="55" spans="1:13" ht="24.5" customHeight="1">
      <c r="A55" s="414">
        <v>46</v>
      </c>
      <c r="B55" s="551"/>
      <c r="C55" s="434" t="s">
        <v>749</v>
      </c>
      <c r="D55" s="414" t="s">
        <v>645</v>
      </c>
      <c r="E55" s="414">
        <v>2026</v>
      </c>
      <c r="F55" s="414">
        <v>2</v>
      </c>
      <c r="G55" s="414" t="s">
        <v>680</v>
      </c>
      <c r="H55" s="417">
        <v>200000000</v>
      </c>
      <c r="I55" s="418">
        <f t="shared" si="18"/>
        <v>400000000</v>
      </c>
      <c r="J55" s="417">
        <f t="shared" si="16"/>
        <v>40000000</v>
      </c>
      <c r="K55" s="417">
        <f t="shared" si="17"/>
        <v>440000000</v>
      </c>
      <c r="L55" s="553"/>
      <c r="M55" s="555"/>
    </row>
    <row r="56" spans="1:13" ht="51">
      <c r="A56" s="414">
        <v>47</v>
      </c>
      <c r="B56" s="52" t="s">
        <v>764</v>
      </c>
      <c r="C56" s="429" t="s">
        <v>765</v>
      </c>
      <c r="D56" s="414" t="s">
        <v>645</v>
      </c>
      <c r="E56" s="414">
        <v>2026</v>
      </c>
      <c r="F56" s="414">
        <v>1</v>
      </c>
      <c r="G56" s="414" t="s">
        <v>680</v>
      </c>
      <c r="H56" s="435">
        <v>380890000</v>
      </c>
      <c r="I56" s="418">
        <f t="shared" si="18"/>
        <v>380890000</v>
      </c>
      <c r="J56" s="417">
        <f t="shared" si="16"/>
        <v>38089000</v>
      </c>
      <c r="K56" s="417">
        <f t="shared" si="17"/>
        <v>418979000</v>
      </c>
      <c r="L56" s="419" t="s">
        <v>755</v>
      </c>
      <c r="M56" s="50" t="s">
        <v>766</v>
      </c>
    </row>
    <row r="57" spans="1:13" ht="51">
      <c r="A57" s="414">
        <v>48</v>
      </c>
      <c r="B57" s="52" t="s">
        <v>767</v>
      </c>
      <c r="C57" s="429" t="s">
        <v>768</v>
      </c>
      <c r="D57" s="414" t="s">
        <v>645</v>
      </c>
      <c r="E57" s="414">
        <v>2026</v>
      </c>
      <c r="F57" s="414">
        <v>1</v>
      </c>
      <c r="G57" s="414" t="s">
        <v>680</v>
      </c>
      <c r="H57" s="435"/>
      <c r="I57" s="418">
        <f t="shared" si="18"/>
        <v>0</v>
      </c>
      <c r="J57" s="417">
        <f t="shared" si="16"/>
        <v>0</v>
      </c>
      <c r="K57" s="417">
        <f t="shared" si="17"/>
        <v>0</v>
      </c>
      <c r="L57" s="419" t="s">
        <v>755</v>
      </c>
      <c r="M57" s="50" t="s">
        <v>769</v>
      </c>
    </row>
    <row r="58" spans="1:13" ht="68">
      <c r="A58" s="414">
        <v>49</v>
      </c>
      <c r="B58" s="52" t="s">
        <v>770</v>
      </c>
      <c r="C58" s="429" t="s">
        <v>771</v>
      </c>
      <c r="D58" s="414" t="s">
        <v>645</v>
      </c>
      <c r="E58" s="414">
        <v>2026</v>
      </c>
      <c r="F58" s="414">
        <v>1</v>
      </c>
      <c r="G58" s="414" t="s">
        <v>680</v>
      </c>
      <c r="H58" s="435"/>
      <c r="I58" s="418">
        <f t="shared" si="18"/>
        <v>0</v>
      </c>
      <c r="J58" s="417">
        <f t="shared" si="16"/>
        <v>0</v>
      </c>
      <c r="K58" s="417">
        <f t="shared" si="17"/>
        <v>0</v>
      </c>
      <c r="L58" s="419" t="s">
        <v>647</v>
      </c>
      <c r="M58" s="50" t="s">
        <v>772</v>
      </c>
    </row>
    <row r="59" spans="1:13" ht="16">
      <c r="A59" s="556" t="s">
        <v>773</v>
      </c>
      <c r="B59" s="556"/>
      <c r="C59" s="556"/>
      <c r="D59" s="556"/>
      <c r="E59" s="556"/>
      <c r="F59" s="556"/>
      <c r="G59" s="556"/>
      <c r="H59" s="556"/>
      <c r="I59" s="436">
        <f>SUM(I7:I58)</f>
        <v>17640079992.545456</v>
      </c>
      <c r="J59" s="436">
        <f>SUM(J7:J58)</f>
        <v>1656040999.2545455</v>
      </c>
      <c r="K59" s="436">
        <f>SUM(K7:K58)</f>
        <v>19296120991.799999</v>
      </c>
      <c r="L59" s="436"/>
      <c r="M59" s="437"/>
    </row>
    <row r="60" spans="1:13">
      <c r="I60" s="47"/>
    </row>
    <row r="62" spans="1:13" ht="18">
      <c r="H62" s="53"/>
      <c r="I62" s="54"/>
      <c r="J62" s="55"/>
      <c r="K62" s="54"/>
      <c r="L62" s="14"/>
      <c r="M62" s="14"/>
    </row>
    <row r="64" spans="1:13" ht="16">
      <c r="A64" s="4"/>
      <c r="B64" s="4"/>
      <c r="C64" s="14"/>
      <c r="D64" s="549" t="s">
        <v>774</v>
      </c>
      <c r="E64" s="549"/>
      <c r="F64" s="549"/>
      <c r="G64" s="549"/>
      <c r="H64" s="549"/>
      <c r="I64" s="549"/>
      <c r="J64" s="14"/>
      <c r="K64" s="14"/>
      <c r="L64" s="14"/>
    </row>
    <row r="65" spans="1:12" ht="16">
      <c r="A65" s="4"/>
      <c r="B65" s="4"/>
      <c r="C65" s="14"/>
      <c r="D65" s="557"/>
      <c r="E65" s="557"/>
      <c r="F65" s="557"/>
      <c r="G65" s="557"/>
      <c r="H65" s="557"/>
      <c r="I65" s="557"/>
      <c r="J65" s="14"/>
      <c r="K65" s="14"/>
      <c r="L65" s="14"/>
    </row>
    <row r="66" spans="1:12" ht="16">
      <c r="A66" s="4"/>
      <c r="B66" s="4"/>
      <c r="C66" s="14"/>
      <c r="D66" s="557"/>
      <c r="E66" s="557"/>
      <c r="F66" s="557"/>
      <c r="G66" s="557"/>
      <c r="H66" s="557"/>
      <c r="I66" s="557"/>
      <c r="J66" s="14"/>
      <c r="K66" s="14"/>
      <c r="L66" s="14"/>
    </row>
    <row r="67" spans="1:12" ht="16">
      <c r="A67" s="4"/>
      <c r="B67" s="4"/>
      <c r="C67" s="14"/>
      <c r="D67" s="557"/>
      <c r="E67" s="557"/>
      <c r="F67" s="557"/>
      <c r="G67" s="557"/>
      <c r="H67" s="557"/>
      <c r="I67" s="557"/>
      <c r="J67" s="14"/>
      <c r="K67" s="14"/>
      <c r="L67" s="14"/>
    </row>
    <row r="68" spans="1:12" ht="16">
      <c r="A68" s="4"/>
      <c r="B68" s="4"/>
      <c r="C68" s="14"/>
      <c r="D68" s="557"/>
      <c r="E68" s="557"/>
      <c r="F68" s="557"/>
      <c r="G68" s="557"/>
      <c r="H68" s="557"/>
      <c r="I68" s="557"/>
      <c r="J68" s="14"/>
      <c r="K68" s="14"/>
      <c r="L68" s="14"/>
    </row>
    <row r="69" spans="1:12" ht="16">
      <c r="C69" s="14"/>
      <c r="D69" s="557"/>
      <c r="E69" s="557"/>
      <c r="F69" s="557"/>
      <c r="G69" s="557"/>
      <c r="H69" s="557"/>
      <c r="I69" s="557"/>
      <c r="J69" s="14"/>
      <c r="K69" s="14"/>
      <c r="L69" s="14"/>
    </row>
    <row r="70" spans="1:12" ht="16">
      <c r="C70" s="14"/>
      <c r="D70" s="557"/>
      <c r="E70" s="557"/>
      <c r="F70" s="557"/>
      <c r="G70" s="557"/>
      <c r="H70" s="557"/>
      <c r="I70" s="557"/>
      <c r="J70" s="14"/>
      <c r="K70" s="14"/>
      <c r="L70" s="14"/>
    </row>
    <row r="71" spans="1:12" ht="16">
      <c r="C71" s="14"/>
      <c r="D71" s="557"/>
      <c r="E71" s="557"/>
      <c r="F71" s="557"/>
      <c r="G71" s="557"/>
      <c r="H71" s="557"/>
      <c r="I71" s="557"/>
      <c r="J71" s="14"/>
      <c r="K71" s="14"/>
      <c r="L71" s="14"/>
    </row>
    <row r="72" spans="1:12" ht="16">
      <c r="C72" s="14"/>
      <c r="D72" s="557"/>
      <c r="E72" s="557"/>
      <c r="F72" s="557"/>
      <c r="G72" s="557"/>
      <c r="H72" s="557"/>
      <c r="I72" s="557"/>
      <c r="J72" s="14"/>
      <c r="K72" s="14"/>
      <c r="L72" s="14"/>
    </row>
    <row r="73" spans="1:12" ht="16">
      <c r="C73" s="14"/>
      <c r="D73" s="549" t="s">
        <v>775</v>
      </c>
      <c r="E73" s="549"/>
      <c r="F73" s="549"/>
      <c r="G73" s="549"/>
      <c r="H73" s="549"/>
      <c r="I73" s="549"/>
      <c r="J73" s="14"/>
      <c r="K73" s="14"/>
      <c r="L73" s="14"/>
    </row>
  </sheetData>
  <mergeCells count="20">
    <mergeCell ref="B49:B50"/>
    <mergeCell ref="A1:C1"/>
    <mergeCell ref="A2:C2"/>
    <mergeCell ref="A4:M4"/>
    <mergeCell ref="B11:B20"/>
    <mergeCell ref="M16:M20"/>
    <mergeCell ref="B22:B23"/>
    <mergeCell ref="C22:C23"/>
    <mergeCell ref="B25:B28"/>
    <mergeCell ref="B31:B40"/>
    <mergeCell ref="M36:M38"/>
    <mergeCell ref="B42:B46"/>
    <mergeCell ref="M42:M46"/>
    <mergeCell ref="D73:I73"/>
    <mergeCell ref="B54:B55"/>
    <mergeCell ref="L54:L55"/>
    <mergeCell ref="M54:M55"/>
    <mergeCell ref="A59:H59"/>
    <mergeCell ref="D64:I64"/>
    <mergeCell ref="D65:I7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3D8E-CA88-674B-9342-231AFA2547D1}">
  <dimension ref="A1:V49"/>
  <sheetViews>
    <sheetView topLeftCell="A34" workbookViewId="0">
      <selection activeCell="A35" sqref="A35"/>
    </sheetView>
  </sheetViews>
  <sheetFormatPr baseColWidth="10" defaultColWidth="9.1640625" defaultRowHeight="14"/>
  <cols>
    <col min="1" max="1" width="37.83203125" style="138" customWidth="1"/>
    <col min="2" max="2" width="8.5" style="132" customWidth="1"/>
    <col min="3" max="3" width="16" style="133" customWidth="1"/>
    <col min="4" max="4" width="15" style="133" customWidth="1"/>
    <col min="5" max="5" width="28.5" style="134" customWidth="1"/>
    <col min="6" max="6" width="11" style="135" customWidth="1"/>
    <col min="7" max="7" width="9.33203125" style="136" customWidth="1"/>
    <col min="8" max="8" width="14.5" style="132" customWidth="1"/>
    <col min="9" max="9" width="13.5" style="132" customWidth="1"/>
    <col min="10" max="21" width="12.5" style="137" customWidth="1"/>
    <col min="22" max="22" width="14.5" style="138" bestFit="1" customWidth="1"/>
    <col min="23" max="16384" width="9.1640625" style="132"/>
  </cols>
  <sheetData>
    <row r="1" spans="1:22" ht="15" thickBot="1">
      <c r="A1" s="131" t="s">
        <v>776</v>
      </c>
    </row>
    <row r="2" spans="1:22" s="148" customFormat="1" ht="30">
      <c r="A2" s="139" t="s">
        <v>777</v>
      </c>
      <c r="B2" s="140" t="s">
        <v>778</v>
      </c>
      <c r="C2" s="141" t="s">
        <v>465</v>
      </c>
      <c r="D2" s="142" t="s">
        <v>779</v>
      </c>
      <c r="E2" s="143" t="s">
        <v>780</v>
      </c>
      <c r="F2" s="144" t="s">
        <v>781</v>
      </c>
      <c r="G2" s="144" t="s">
        <v>782</v>
      </c>
      <c r="H2" s="145" t="s">
        <v>783</v>
      </c>
      <c r="I2" s="145" t="s">
        <v>784</v>
      </c>
      <c r="J2" s="146" t="s">
        <v>785</v>
      </c>
      <c r="K2" s="146" t="s">
        <v>786</v>
      </c>
      <c r="L2" s="146" t="s">
        <v>787</v>
      </c>
      <c r="M2" s="146" t="s">
        <v>788</v>
      </c>
      <c r="N2" s="146" t="s">
        <v>789</v>
      </c>
      <c r="O2" s="146" t="s">
        <v>790</v>
      </c>
      <c r="P2" s="146" t="s">
        <v>791</v>
      </c>
      <c r="Q2" s="146" t="s">
        <v>792</v>
      </c>
      <c r="R2" s="146" t="s">
        <v>793</v>
      </c>
      <c r="S2" s="146" t="s">
        <v>794</v>
      </c>
      <c r="T2" s="146" t="s">
        <v>795</v>
      </c>
      <c r="U2" s="146" t="s">
        <v>796</v>
      </c>
      <c r="V2" s="147" t="s">
        <v>797</v>
      </c>
    </row>
    <row r="3" spans="1:22">
      <c r="A3" s="149" t="s">
        <v>798</v>
      </c>
      <c r="B3" s="438"/>
      <c r="C3" s="438"/>
      <c r="D3" s="439">
        <f>SUM(D4:D42)-D6-D16-D21</f>
        <v>3176734600</v>
      </c>
      <c r="E3" s="440"/>
      <c r="F3" s="441"/>
      <c r="G3" s="441"/>
      <c r="H3" s="442"/>
      <c r="I3" s="442"/>
      <c r="J3" s="443">
        <f t="shared" ref="J3:V3" si="0">SUM(J4:J38)</f>
        <v>12351601</v>
      </c>
      <c r="K3" s="443">
        <f t="shared" si="0"/>
        <v>17212712</v>
      </c>
      <c r="L3" s="443">
        <f t="shared" si="0"/>
        <v>32004378</v>
      </c>
      <c r="M3" s="443">
        <f t="shared" si="0"/>
        <v>64504378</v>
      </c>
      <c r="N3" s="443">
        <f t="shared" si="0"/>
        <v>74779378</v>
      </c>
      <c r="O3" s="443">
        <f t="shared" si="0"/>
        <v>88586777</v>
      </c>
      <c r="P3" s="443">
        <f t="shared" si="0"/>
        <v>89420110.333333343</v>
      </c>
      <c r="Q3" s="443">
        <f t="shared" si="0"/>
        <v>89420110.333333343</v>
      </c>
      <c r="R3" s="443">
        <f t="shared" si="0"/>
        <v>89420110.333333343</v>
      </c>
      <c r="S3" s="443">
        <f t="shared" si="0"/>
        <v>89420098.333333343</v>
      </c>
      <c r="T3" s="443">
        <f t="shared" si="0"/>
        <v>89442791.333333343</v>
      </c>
      <c r="U3" s="443">
        <f t="shared" si="0"/>
        <v>95942791.333333343</v>
      </c>
      <c r="V3" s="150">
        <f t="shared" si="0"/>
        <v>692688471</v>
      </c>
    </row>
    <row r="4" spans="1:22">
      <c r="A4" s="151"/>
      <c r="B4" s="444"/>
      <c r="C4" s="445"/>
      <c r="D4" s="445"/>
      <c r="E4" s="446"/>
      <c r="F4" s="447"/>
      <c r="G4" s="448"/>
      <c r="H4" s="449"/>
      <c r="I4" s="449"/>
      <c r="J4" s="450"/>
      <c r="K4" s="450"/>
      <c r="L4" s="450"/>
      <c r="M4" s="451"/>
      <c r="N4" s="451"/>
      <c r="O4" s="451"/>
      <c r="P4" s="451"/>
      <c r="Q4" s="451"/>
      <c r="R4" s="451"/>
      <c r="S4" s="451"/>
      <c r="T4" s="451"/>
      <c r="U4" s="451"/>
      <c r="V4" s="152">
        <f>SUM(J4:U4)</f>
        <v>0</v>
      </c>
    </row>
    <row r="5" spans="1:22" ht="15">
      <c r="A5" s="153" t="s">
        <v>799</v>
      </c>
      <c r="B5" s="442">
        <v>2</v>
      </c>
      <c r="C5" s="452">
        <v>2600000</v>
      </c>
      <c r="D5" s="452">
        <f>+C5*B5</f>
        <v>5200000</v>
      </c>
      <c r="E5" s="453" t="s">
        <v>800</v>
      </c>
      <c r="F5" s="447" t="s">
        <v>801</v>
      </c>
      <c r="G5" s="454">
        <v>1</v>
      </c>
      <c r="H5" s="449">
        <f>ROUND(+D5/G5,0)</f>
        <v>5200000</v>
      </c>
      <c r="I5" s="449">
        <f>ROUND(+H5/12,0)</f>
        <v>433333</v>
      </c>
      <c r="J5" s="450"/>
      <c r="K5" s="450"/>
      <c r="L5" s="450"/>
      <c r="M5" s="450"/>
      <c r="N5" s="450"/>
      <c r="O5" s="450"/>
      <c r="P5" s="450"/>
      <c r="Q5" s="450"/>
      <c r="R5" s="450"/>
      <c r="S5" s="450"/>
      <c r="T5" s="451">
        <f>+U5</f>
        <v>433333</v>
      </c>
      <c r="U5" s="451">
        <f>+I5</f>
        <v>433333</v>
      </c>
      <c r="V5" s="152">
        <f>SUM(J5:U5)</f>
        <v>866666</v>
      </c>
    </row>
    <row r="6" spans="1:22" s="156" customFormat="1" ht="45">
      <c r="A6" s="154" t="s">
        <v>802</v>
      </c>
      <c r="B6" s="455"/>
      <c r="C6" s="456"/>
      <c r="D6" s="456">
        <f>SUM(D7:D10)</f>
        <v>100000000</v>
      </c>
      <c r="E6" s="457" t="s">
        <v>803</v>
      </c>
      <c r="F6" s="458"/>
      <c r="G6" s="459">
        <v>3</v>
      </c>
      <c r="H6" s="460"/>
      <c r="I6" s="460"/>
      <c r="J6" s="461">
        <f t="shared" ref="J6:U6" si="1">SUM(J7:J10)</f>
        <v>416667</v>
      </c>
      <c r="K6" s="461">
        <f t="shared" si="1"/>
        <v>1527778</v>
      </c>
      <c r="L6" s="461">
        <f t="shared" si="1"/>
        <v>1527778</v>
      </c>
      <c r="M6" s="461">
        <f t="shared" si="1"/>
        <v>1527778</v>
      </c>
      <c r="N6" s="461">
        <f t="shared" si="1"/>
        <v>1527778</v>
      </c>
      <c r="O6" s="461">
        <f t="shared" si="1"/>
        <v>1527778</v>
      </c>
      <c r="P6" s="461">
        <f t="shared" si="1"/>
        <v>1527778</v>
      </c>
      <c r="Q6" s="461">
        <f t="shared" si="1"/>
        <v>1527778</v>
      </c>
      <c r="R6" s="461">
        <f t="shared" si="1"/>
        <v>1527778</v>
      </c>
      <c r="S6" s="461">
        <f t="shared" si="1"/>
        <v>1527778</v>
      </c>
      <c r="T6" s="461">
        <f t="shared" si="1"/>
        <v>1527778</v>
      </c>
      <c r="U6" s="461">
        <f t="shared" si="1"/>
        <v>2777778</v>
      </c>
      <c r="V6" s="155"/>
    </row>
    <row r="7" spans="1:22" s="159" customFormat="1" ht="15">
      <c r="A7" s="157" t="s">
        <v>804</v>
      </c>
      <c r="B7" s="462">
        <v>1</v>
      </c>
      <c r="C7" s="463">
        <v>15000000</v>
      </c>
      <c r="D7" s="463">
        <f>+C7*B7</f>
        <v>15000000</v>
      </c>
      <c r="E7" s="464" t="s">
        <v>805</v>
      </c>
      <c r="F7" s="465" t="s">
        <v>806</v>
      </c>
      <c r="G7" s="466">
        <v>3</v>
      </c>
      <c r="H7" s="467">
        <f t="shared" ref="H7:H15" si="2">ROUND(+D7/G7,0)</f>
        <v>5000000</v>
      </c>
      <c r="I7" s="467">
        <f t="shared" ref="I7:I15" si="3">ROUND(+H7/12,0)</f>
        <v>416667</v>
      </c>
      <c r="J7" s="467">
        <f t="shared" ref="J7:U8" si="4">+$I7</f>
        <v>416667</v>
      </c>
      <c r="K7" s="467">
        <f t="shared" si="4"/>
        <v>416667</v>
      </c>
      <c r="L7" s="467">
        <f t="shared" si="4"/>
        <v>416667</v>
      </c>
      <c r="M7" s="467">
        <f t="shared" si="4"/>
        <v>416667</v>
      </c>
      <c r="N7" s="467">
        <f t="shared" si="4"/>
        <v>416667</v>
      </c>
      <c r="O7" s="467">
        <f t="shared" si="4"/>
        <v>416667</v>
      </c>
      <c r="P7" s="467">
        <f t="shared" si="4"/>
        <v>416667</v>
      </c>
      <c r="Q7" s="467">
        <f t="shared" si="4"/>
        <v>416667</v>
      </c>
      <c r="R7" s="467">
        <f t="shared" si="4"/>
        <v>416667</v>
      </c>
      <c r="S7" s="467">
        <f t="shared" si="4"/>
        <v>416667</v>
      </c>
      <c r="T7" s="467">
        <f t="shared" si="4"/>
        <v>416667</v>
      </c>
      <c r="U7" s="467">
        <f t="shared" si="4"/>
        <v>416667</v>
      </c>
      <c r="V7" s="158">
        <f t="shared" ref="V7:V15" si="5">SUM(J7:U7)</f>
        <v>5000004</v>
      </c>
    </row>
    <row r="8" spans="1:22" s="159" customFormat="1" ht="15">
      <c r="A8" s="157" t="s">
        <v>807</v>
      </c>
      <c r="B8" s="462">
        <v>1</v>
      </c>
      <c r="C8" s="463">
        <v>15000000</v>
      </c>
      <c r="D8" s="463">
        <f>+C8*B8</f>
        <v>15000000</v>
      </c>
      <c r="E8" s="464" t="s">
        <v>805</v>
      </c>
      <c r="F8" s="465" t="s">
        <v>808</v>
      </c>
      <c r="G8" s="466">
        <v>3</v>
      </c>
      <c r="H8" s="467">
        <f t="shared" si="2"/>
        <v>5000000</v>
      </c>
      <c r="I8" s="467">
        <f t="shared" si="3"/>
        <v>416667</v>
      </c>
      <c r="J8" s="467"/>
      <c r="K8" s="467">
        <f t="shared" si="4"/>
        <v>416667</v>
      </c>
      <c r="L8" s="467">
        <f t="shared" si="4"/>
        <v>416667</v>
      </c>
      <c r="M8" s="467">
        <f t="shared" si="4"/>
        <v>416667</v>
      </c>
      <c r="N8" s="467">
        <f t="shared" si="4"/>
        <v>416667</v>
      </c>
      <c r="O8" s="467">
        <f t="shared" si="4"/>
        <v>416667</v>
      </c>
      <c r="P8" s="467">
        <f t="shared" si="4"/>
        <v>416667</v>
      </c>
      <c r="Q8" s="467">
        <f t="shared" si="4"/>
        <v>416667</v>
      </c>
      <c r="R8" s="467">
        <f t="shared" si="4"/>
        <v>416667</v>
      </c>
      <c r="S8" s="467">
        <f t="shared" si="4"/>
        <v>416667</v>
      </c>
      <c r="T8" s="467">
        <f t="shared" si="4"/>
        <v>416667</v>
      </c>
      <c r="U8" s="467">
        <f t="shared" si="4"/>
        <v>416667</v>
      </c>
      <c r="V8" s="158">
        <f t="shared" si="5"/>
        <v>4583337</v>
      </c>
    </row>
    <row r="9" spans="1:22" s="159" customFormat="1" ht="15">
      <c r="A9" s="157" t="s">
        <v>809</v>
      </c>
      <c r="B9" s="462">
        <v>3</v>
      </c>
      <c r="C9" s="463">
        <v>15000000</v>
      </c>
      <c r="D9" s="463">
        <f>+C9*B9</f>
        <v>45000000</v>
      </c>
      <c r="E9" s="464" t="s">
        <v>805</v>
      </c>
      <c r="F9" s="465" t="s">
        <v>810</v>
      </c>
      <c r="G9" s="466">
        <v>3</v>
      </c>
      <c r="H9" s="467">
        <f t="shared" si="2"/>
        <v>15000000</v>
      </c>
      <c r="I9" s="467">
        <f t="shared" si="3"/>
        <v>1250000</v>
      </c>
      <c r="J9" s="462"/>
      <c r="K9" s="462"/>
      <c r="L9" s="462"/>
      <c r="M9" s="462"/>
      <c r="N9" s="462"/>
      <c r="O9" s="462"/>
      <c r="P9" s="462"/>
      <c r="Q9" s="462"/>
      <c r="R9" s="462"/>
      <c r="S9" s="462"/>
      <c r="T9" s="462"/>
      <c r="U9" s="467">
        <f>+I9</f>
        <v>1250000</v>
      </c>
      <c r="V9" s="158">
        <f t="shared" si="5"/>
        <v>1250000</v>
      </c>
    </row>
    <row r="10" spans="1:22" s="159" customFormat="1" ht="30">
      <c r="A10" s="157" t="s">
        <v>811</v>
      </c>
      <c r="B10" s="462">
        <v>10</v>
      </c>
      <c r="C10" s="463">
        <v>2500000</v>
      </c>
      <c r="D10" s="463">
        <f>+C10*B10</f>
        <v>25000000</v>
      </c>
      <c r="E10" s="464" t="s">
        <v>812</v>
      </c>
      <c r="F10" s="465" t="s">
        <v>808</v>
      </c>
      <c r="G10" s="466">
        <v>3</v>
      </c>
      <c r="H10" s="467">
        <f t="shared" si="2"/>
        <v>8333333</v>
      </c>
      <c r="I10" s="467">
        <f t="shared" si="3"/>
        <v>694444</v>
      </c>
      <c r="J10" s="467"/>
      <c r="K10" s="467">
        <f t="shared" ref="K10:U10" si="6">+$I10</f>
        <v>694444</v>
      </c>
      <c r="L10" s="467">
        <f t="shared" si="6"/>
        <v>694444</v>
      </c>
      <c r="M10" s="467">
        <f t="shared" si="6"/>
        <v>694444</v>
      </c>
      <c r="N10" s="467">
        <f t="shared" si="6"/>
        <v>694444</v>
      </c>
      <c r="O10" s="467">
        <f t="shared" si="6"/>
        <v>694444</v>
      </c>
      <c r="P10" s="467">
        <f t="shared" si="6"/>
        <v>694444</v>
      </c>
      <c r="Q10" s="467">
        <f t="shared" si="6"/>
        <v>694444</v>
      </c>
      <c r="R10" s="467">
        <f t="shared" si="6"/>
        <v>694444</v>
      </c>
      <c r="S10" s="467">
        <f t="shared" si="6"/>
        <v>694444</v>
      </c>
      <c r="T10" s="467">
        <f t="shared" si="6"/>
        <v>694444</v>
      </c>
      <c r="U10" s="467">
        <f t="shared" si="6"/>
        <v>694444</v>
      </c>
      <c r="V10" s="158">
        <f t="shared" si="5"/>
        <v>7638884</v>
      </c>
    </row>
    <row r="11" spans="1:22" ht="56">
      <c r="A11" s="160" t="s">
        <v>813</v>
      </c>
      <c r="B11" s="442">
        <v>10</v>
      </c>
      <c r="C11" s="452">
        <f>+(2000000+1500000)</f>
        <v>3500000</v>
      </c>
      <c r="D11" s="452">
        <f>+C11*B11</f>
        <v>35000000</v>
      </c>
      <c r="E11" s="468" t="s">
        <v>814</v>
      </c>
      <c r="F11" s="469" t="s">
        <v>815</v>
      </c>
      <c r="G11" s="454">
        <v>2</v>
      </c>
      <c r="H11" s="449">
        <f t="shared" si="2"/>
        <v>17500000</v>
      </c>
      <c r="I11" s="449">
        <f t="shared" si="3"/>
        <v>1458333</v>
      </c>
      <c r="J11" s="451"/>
      <c r="K11" s="450"/>
      <c r="L11" s="451">
        <f>+I11</f>
        <v>1458333</v>
      </c>
      <c r="M11" s="451">
        <f t="shared" ref="M11:U11" si="7">+L11</f>
        <v>1458333</v>
      </c>
      <c r="N11" s="451">
        <f t="shared" si="7"/>
        <v>1458333</v>
      </c>
      <c r="O11" s="451">
        <f t="shared" si="7"/>
        <v>1458333</v>
      </c>
      <c r="P11" s="451">
        <f t="shared" si="7"/>
        <v>1458333</v>
      </c>
      <c r="Q11" s="451">
        <f t="shared" si="7"/>
        <v>1458333</v>
      </c>
      <c r="R11" s="451">
        <f t="shared" si="7"/>
        <v>1458333</v>
      </c>
      <c r="S11" s="451">
        <f t="shared" si="7"/>
        <v>1458333</v>
      </c>
      <c r="T11" s="451">
        <f t="shared" si="7"/>
        <v>1458333</v>
      </c>
      <c r="U11" s="451">
        <f t="shared" si="7"/>
        <v>1458333</v>
      </c>
      <c r="V11" s="152">
        <f t="shared" si="5"/>
        <v>14583330</v>
      </c>
    </row>
    <row r="12" spans="1:22" ht="42">
      <c r="A12" s="160" t="s">
        <v>816</v>
      </c>
      <c r="B12" s="442">
        <v>10</v>
      </c>
      <c r="C12" s="452">
        <v>1500000</v>
      </c>
      <c r="D12" s="452"/>
      <c r="E12" s="468" t="s">
        <v>817</v>
      </c>
      <c r="F12" s="469" t="s">
        <v>818</v>
      </c>
      <c r="G12" s="454">
        <v>2</v>
      </c>
      <c r="H12" s="449">
        <f t="shared" si="2"/>
        <v>0</v>
      </c>
      <c r="I12" s="449">
        <f t="shared" si="3"/>
        <v>0</v>
      </c>
      <c r="J12" s="451"/>
      <c r="K12" s="450"/>
      <c r="L12" s="450"/>
      <c r="M12" s="450"/>
      <c r="N12" s="451">
        <f t="shared" ref="N12:U12" si="8">+$I12</f>
        <v>0</v>
      </c>
      <c r="O12" s="451">
        <f t="shared" si="8"/>
        <v>0</v>
      </c>
      <c r="P12" s="451">
        <f t="shared" si="8"/>
        <v>0</v>
      </c>
      <c r="Q12" s="451">
        <f t="shared" si="8"/>
        <v>0</v>
      </c>
      <c r="R12" s="451">
        <f t="shared" si="8"/>
        <v>0</v>
      </c>
      <c r="S12" s="451">
        <f t="shared" si="8"/>
        <v>0</v>
      </c>
      <c r="T12" s="451">
        <f t="shared" si="8"/>
        <v>0</v>
      </c>
      <c r="U12" s="451">
        <f t="shared" si="8"/>
        <v>0</v>
      </c>
      <c r="V12" s="152">
        <f t="shared" si="5"/>
        <v>0</v>
      </c>
    </row>
    <row r="13" spans="1:22" ht="15">
      <c r="A13" s="153" t="s">
        <v>819</v>
      </c>
      <c r="B13" s="442">
        <v>2</v>
      </c>
      <c r="C13" s="452">
        <v>11000000</v>
      </c>
      <c r="D13" s="452">
        <f>+C13*B13</f>
        <v>22000000</v>
      </c>
      <c r="E13" s="453" t="s">
        <v>800</v>
      </c>
      <c r="F13" s="469" t="s">
        <v>810</v>
      </c>
      <c r="G13" s="454">
        <v>2</v>
      </c>
      <c r="H13" s="449">
        <f t="shared" si="2"/>
        <v>11000000</v>
      </c>
      <c r="I13" s="449">
        <f t="shared" si="3"/>
        <v>916667</v>
      </c>
      <c r="J13" s="451"/>
      <c r="K13" s="450"/>
      <c r="L13" s="450"/>
      <c r="M13" s="450"/>
      <c r="N13" s="450"/>
      <c r="O13" s="450"/>
      <c r="P13" s="450"/>
      <c r="Q13" s="450"/>
      <c r="R13" s="450"/>
      <c r="S13" s="450"/>
      <c r="T13" s="450"/>
      <c r="U13" s="451">
        <f>+I13</f>
        <v>916667</v>
      </c>
      <c r="V13" s="152">
        <f t="shared" si="5"/>
        <v>916667</v>
      </c>
    </row>
    <row r="14" spans="1:22" ht="30">
      <c r="A14" s="153" t="s">
        <v>820</v>
      </c>
      <c r="B14" s="442">
        <v>1</v>
      </c>
      <c r="C14" s="452">
        <v>18000000</v>
      </c>
      <c r="D14" s="452">
        <f>+C14*B14</f>
        <v>18000000</v>
      </c>
      <c r="E14" s="453" t="s">
        <v>821</v>
      </c>
      <c r="F14" s="469" t="s">
        <v>806</v>
      </c>
      <c r="G14" s="454">
        <v>1</v>
      </c>
      <c r="H14" s="449">
        <f t="shared" si="2"/>
        <v>18000000</v>
      </c>
      <c r="I14" s="449">
        <f t="shared" si="3"/>
        <v>1500000</v>
      </c>
      <c r="J14" s="451">
        <f t="shared" ref="J14:U14" si="9">+I14</f>
        <v>1500000</v>
      </c>
      <c r="K14" s="451">
        <f t="shared" si="9"/>
        <v>1500000</v>
      </c>
      <c r="L14" s="451">
        <f t="shared" si="9"/>
        <v>1500000</v>
      </c>
      <c r="M14" s="451">
        <f t="shared" si="9"/>
        <v>1500000</v>
      </c>
      <c r="N14" s="451">
        <f t="shared" si="9"/>
        <v>1500000</v>
      </c>
      <c r="O14" s="451">
        <f t="shared" si="9"/>
        <v>1500000</v>
      </c>
      <c r="P14" s="451">
        <f t="shared" si="9"/>
        <v>1500000</v>
      </c>
      <c r="Q14" s="451">
        <f t="shared" si="9"/>
        <v>1500000</v>
      </c>
      <c r="R14" s="451">
        <f t="shared" si="9"/>
        <v>1500000</v>
      </c>
      <c r="S14" s="451">
        <f t="shared" si="9"/>
        <v>1500000</v>
      </c>
      <c r="T14" s="451">
        <f t="shared" si="9"/>
        <v>1500000</v>
      </c>
      <c r="U14" s="451">
        <f t="shared" si="9"/>
        <v>1500000</v>
      </c>
      <c r="V14" s="152">
        <f t="shared" si="5"/>
        <v>18000000</v>
      </c>
    </row>
    <row r="15" spans="1:22" ht="42">
      <c r="A15" s="153" t="s">
        <v>822</v>
      </c>
      <c r="B15" s="442">
        <v>2</v>
      </c>
      <c r="C15" s="452">
        <v>5000000</v>
      </c>
      <c r="D15" s="452">
        <f>+C15*B15</f>
        <v>10000000</v>
      </c>
      <c r="E15" s="468" t="s">
        <v>823</v>
      </c>
      <c r="F15" s="469" t="s">
        <v>815</v>
      </c>
      <c r="G15" s="454">
        <v>1</v>
      </c>
      <c r="H15" s="449">
        <f t="shared" si="2"/>
        <v>10000000</v>
      </c>
      <c r="I15" s="449">
        <f t="shared" si="3"/>
        <v>833333</v>
      </c>
      <c r="J15" s="451"/>
      <c r="K15" s="450"/>
      <c r="L15" s="451">
        <f>+I15</f>
        <v>833333</v>
      </c>
      <c r="M15" s="451">
        <f>+L15</f>
        <v>833333</v>
      </c>
      <c r="N15" s="451">
        <f>+M15</f>
        <v>833333</v>
      </c>
      <c r="O15" s="451">
        <f>+N15</f>
        <v>833333</v>
      </c>
      <c r="P15" s="451">
        <f>+O15</f>
        <v>833333</v>
      </c>
      <c r="Q15" s="451">
        <f>+P15</f>
        <v>833333</v>
      </c>
      <c r="R15" s="451">
        <f>+$I15</f>
        <v>833333</v>
      </c>
      <c r="S15" s="451">
        <f>+$I15</f>
        <v>833333</v>
      </c>
      <c r="T15" s="451">
        <f>+$I15</f>
        <v>833333</v>
      </c>
      <c r="U15" s="451">
        <f>+$I15</f>
        <v>833333</v>
      </c>
      <c r="V15" s="152">
        <f t="shared" si="5"/>
        <v>8333330</v>
      </c>
    </row>
    <row r="16" spans="1:22" s="156" customFormat="1" ht="28">
      <c r="A16" s="154" t="s">
        <v>824</v>
      </c>
      <c r="B16" s="455"/>
      <c r="C16" s="456"/>
      <c r="D16" s="456">
        <f>SUM(D17:D19)</f>
        <v>136354200</v>
      </c>
      <c r="E16" s="470" t="s">
        <v>825</v>
      </c>
      <c r="F16" s="455"/>
      <c r="G16" s="459">
        <v>1</v>
      </c>
      <c r="H16" s="460"/>
      <c r="I16" s="460"/>
      <c r="J16" s="471"/>
      <c r="K16" s="472"/>
      <c r="L16" s="471"/>
      <c r="M16" s="471"/>
      <c r="N16" s="471"/>
      <c r="O16" s="471">
        <f>SUM(O17:O19)</f>
        <v>10833438</v>
      </c>
      <c r="P16" s="471">
        <f t="shared" ref="P16:U16" si="10">SUM(P17:P19)</f>
        <v>10833438</v>
      </c>
      <c r="Q16" s="471">
        <f t="shared" si="10"/>
        <v>10833438</v>
      </c>
      <c r="R16" s="471">
        <f t="shared" si="10"/>
        <v>10833438</v>
      </c>
      <c r="S16" s="471">
        <f t="shared" si="10"/>
        <v>10833438</v>
      </c>
      <c r="T16" s="471">
        <f t="shared" si="10"/>
        <v>10833438</v>
      </c>
      <c r="U16" s="471">
        <f t="shared" si="10"/>
        <v>10833438</v>
      </c>
      <c r="V16" s="155"/>
    </row>
    <row r="17" spans="1:22" ht="15">
      <c r="A17" s="157" t="s">
        <v>826</v>
      </c>
      <c r="B17" s="442">
        <v>1</v>
      </c>
      <c r="C17" s="473">
        <f>12*1862850</f>
        <v>22354200</v>
      </c>
      <c r="D17" s="452">
        <f>+C17*B17</f>
        <v>22354200</v>
      </c>
      <c r="E17" s="474" t="s">
        <v>827</v>
      </c>
      <c r="F17" s="469" t="s">
        <v>828</v>
      </c>
      <c r="G17" s="454">
        <v>1</v>
      </c>
      <c r="H17" s="449">
        <f>ROUND(+D17/G17,0)</f>
        <v>22354200</v>
      </c>
      <c r="I17" s="449">
        <f>ROUND(+H17/12,0)</f>
        <v>1862850</v>
      </c>
      <c r="J17" s="451"/>
      <c r="K17" s="451"/>
      <c r="L17" s="451"/>
      <c r="M17" s="451"/>
      <c r="N17" s="451"/>
      <c r="O17" s="451">
        <f>+I17</f>
        <v>1862850</v>
      </c>
      <c r="P17" s="451">
        <f t="shared" ref="P17:U19" si="11">+O17</f>
        <v>1862850</v>
      </c>
      <c r="Q17" s="451">
        <f t="shared" si="11"/>
        <v>1862850</v>
      </c>
      <c r="R17" s="451">
        <f t="shared" si="11"/>
        <v>1862850</v>
      </c>
      <c r="S17" s="451">
        <f t="shared" si="11"/>
        <v>1862850</v>
      </c>
      <c r="T17" s="451">
        <f t="shared" si="11"/>
        <v>1862850</v>
      </c>
      <c r="U17" s="451">
        <f t="shared" si="11"/>
        <v>1862850</v>
      </c>
      <c r="V17" s="152">
        <f>SUM(J17:U17)</f>
        <v>13039950</v>
      </c>
    </row>
    <row r="18" spans="1:22" ht="15">
      <c r="A18" s="157" t="s">
        <v>829</v>
      </c>
      <c r="B18" s="442">
        <v>1</v>
      </c>
      <c r="C18" s="473">
        <v>21600000</v>
      </c>
      <c r="D18" s="452">
        <f>+C18*B18</f>
        <v>21600000</v>
      </c>
      <c r="E18" s="474" t="s">
        <v>830</v>
      </c>
      <c r="F18" s="469" t="s">
        <v>806</v>
      </c>
      <c r="G18" s="454">
        <f>17/12</f>
        <v>1.4166666666666667</v>
      </c>
      <c r="H18" s="449">
        <f>ROUND(+D18/G18,0)</f>
        <v>15247059</v>
      </c>
      <c r="I18" s="449">
        <f>ROUND(+H18/12,0)</f>
        <v>1270588</v>
      </c>
      <c r="J18" s="451">
        <f t="shared" ref="J18:O18" si="12">+I18</f>
        <v>1270588</v>
      </c>
      <c r="K18" s="451">
        <f t="shared" si="12"/>
        <v>1270588</v>
      </c>
      <c r="L18" s="451">
        <f t="shared" si="12"/>
        <v>1270588</v>
      </c>
      <c r="M18" s="451">
        <f t="shared" si="12"/>
        <v>1270588</v>
      </c>
      <c r="N18" s="451">
        <f t="shared" si="12"/>
        <v>1270588</v>
      </c>
      <c r="O18" s="451">
        <f t="shared" si="12"/>
        <v>1270588</v>
      </c>
      <c r="P18" s="451">
        <f t="shared" si="11"/>
        <v>1270588</v>
      </c>
      <c r="Q18" s="451">
        <f t="shared" si="11"/>
        <v>1270588</v>
      </c>
      <c r="R18" s="451">
        <f t="shared" si="11"/>
        <v>1270588</v>
      </c>
      <c r="S18" s="451">
        <f t="shared" si="11"/>
        <v>1270588</v>
      </c>
      <c r="T18" s="451">
        <f t="shared" si="11"/>
        <v>1270588</v>
      </c>
      <c r="U18" s="451">
        <f t="shared" si="11"/>
        <v>1270588</v>
      </c>
      <c r="V18" s="152"/>
    </row>
    <row r="19" spans="1:22" ht="15">
      <c r="A19" s="157" t="s">
        <v>831</v>
      </c>
      <c r="B19" s="442">
        <v>1</v>
      </c>
      <c r="C19" s="473">
        <v>92400000</v>
      </c>
      <c r="D19" s="452">
        <f>+C19*B19</f>
        <v>92400000</v>
      </c>
      <c r="E19" s="474" t="s">
        <v>827</v>
      </c>
      <c r="F19" s="469" t="s">
        <v>818</v>
      </c>
      <c r="G19" s="454">
        <v>1</v>
      </c>
      <c r="H19" s="449">
        <f>ROUND(+D19/G19,0)</f>
        <v>92400000</v>
      </c>
      <c r="I19" s="449">
        <f>ROUND(+H19/12,0)</f>
        <v>7700000</v>
      </c>
      <c r="J19" s="451"/>
      <c r="K19" s="451"/>
      <c r="L19" s="451"/>
      <c r="M19" s="451"/>
      <c r="N19" s="451">
        <f>+I19</f>
        <v>7700000</v>
      </c>
      <c r="O19" s="451">
        <f>+N19</f>
        <v>7700000</v>
      </c>
      <c r="P19" s="451">
        <f t="shared" si="11"/>
        <v>7700000</v>
      </c>
      <c r="Q19" s="451">
        <f t="shared" si="11"/>
        <v>7700000</v>
      </c>
      <c r="R19" s="451">
        <f t="shared" si="11"/>
        <v>7700000</v>
      </c>
      <c r="S19" s="451">
        <f t="shared" si="11"/>
        <v>7700000</v>
      </c>
      <c r="T19" s="451">
        <f t="shared" si="11"/>
        <v>7700000</v>
      </c>
      <c r="U19" s="451">
        <f t="shared" si="11"/>
        <v>7700000</v>
      </c>
      <c r="V19" s="152">
        <f>SUM(J19:U19)</f>
        <v>61600000</v>
      </c>
    </row>
    <row r="20" spans="1:22" ht="15">
      <c r="A20" s="153" t="s">
        <v>832</v>
      </c>
      <c r="B20" s="442">
        <v>1</v>
      </c>
      <c r="C20" s="473">
        <v>30000000</v>
      </c>
      <c r="D20" s="452">
        <f>+C20*B20</f>
        <v>30000000</v>
      </c>
      <c r="E20" s="474" t="s">
        <v>827</v>
      </c>
      <c r="F20" s="469" t="s">
        <v>818</v>
      </c>
      <c r="G20" s="454">
        <v>1</v>
      </c>
      <c r="H20" s="449">
        <f>ROUND(+D20/G20,0)</f>
        <v>30000000</v>
      </c>
      <c r="I20" s="449">
        <f>ROUND(+H20/12,0)</f>
        <v>2500000</v>
      </c>
      <c r="J20" s="451"/>
      <c r="K20" s="450"/>
      <c r="L20" s="450"/>
      <c r="M20" s="451"/>
      <c r="N20" s="451">
        <f t="shared" ref="N20:U20" si="13">+$I20</f>
        <v>2500000</v>
      </c>
      <c r="O20" s="451">
        <f t="shared" si="13"/>
        <v>2500000</v>
      </c>
      <c r="P20" s="451">
        <f t="shared" si="13"/>
        <v>2500000</v>
      </c>
      <c r="Q20" s="451">
        <f t="shared" si="13"/>
        <v>2500000</v>
      </c>
      <c r="R20" s="451">
        <f t="shared" si="13"/>
        <v>2500000</v>
      </c>
      <c r="S20" s="451">
        <f t="shared" si="13"/>
        <v>2500000</v>
      </c>
      <c r="T20" s="451">
        <f t="shared" si="13"/>
        <v>2500000</v>
      </c>
      <c r="U20" s="451">
        <f t="shared" si="13"/>
        <v>2500000</v>
      </c>
      <c r="V20" s="152">
        <f>SUM(J20:U20)</f>
        <v>20000000</v>
      </c>
    </row>
    <row r="21" spans="1:22" s="162" customFormat="1" ht="45">
      <c r="A21" s="154" t="s">
        <v>833</v>
      </c>
      <c r="B21" s="475"/>
      <c r="C21" s="476"/>
      <c r="D21" s="456">
        <f>SUM(D22:D24)</f>
        <v>40950000</v>
      </c>
      <c r="E21" s="477" t="str">
        <f>+A21</f>
        <v>Mua 01 bộ Zoom meetup + pc mini + mic đa hướng (Phục vụ họp trực tuyến); gia hạn zoom/tên miền</v>
      </c>
      <c r="F21" s="478"/>
      <c r="G21" s="479"/>
      <c r="H21" s="480"/>
      <c r="I21" s="480"/>
      <c r="J21" s="471">
        <f>SUM(J22:J24)</f>
        <v>2531173</v>
      </c>
      <c r="K21" s="471">
        <f t="shared" ref="K21:U21" si="14">SUM(K22:K24)</f>
        <v>2531173</v>
      </c>
      <c r="L21" s="471">
        <f t="shared" si="14"/>
        <v>2531173</v>
      </c>
      <c r="M21" s="471">
        <f t="shared" si="14"/>
        <v>2531173</v>
      </c>
      <c r="N21" s="471">
        <f t="shared" si="14"/>
        <v>2568673</v>
      </c>
      <c r="O21" s="471">
        <f t="shared" si="14"/>
        <v>2568673</v>
      </c>
      <c r="P21" s="471">
        <f t="shared" si="14"/>
        <v>2568673</v>
      </c>
      <c r="Q21" s="471">
        <f t="shared" si="14"/>
        <v>2568673</v>
      </c>
      <c r="R21" s="471">
        <f t="shared" si="14"/>
        <v>2568673</v>
      </c>
      <c r="S21" s="471">
        <f t="shared" si="14"/>
        <v>2568667</v>
      </c>
      <c r="T21" s="471">
        <f t="shared" si="14"/>
        <v>2363347</v>
      </c>
      <c r="U21" s="471">
        <f t="shared" si="14"/>
        <v>2363347</v>
      </c>
      <c r="V21" s="161"/>
    </row>
    <row r="22" spans="1:22" ht="30">
      <c r="A22" s="157" t="s">
        <v>834</v>
      </c>
      <c r="B22" s="442">
        <v>1</v>
      </c>
      <c r="C22" s="452">
        <f>17000000+13000000</f>
        <v>30000000</v>
      </c>
      <c r="D22" s="452">
        <f>+C22*B22</f>
        <v>30000000</v>
      </c>
      <c r="E22" s="474" t="s">
        <v>835</v>
      </c>
      <c r="F22" s="469" t="s">
        <v>806</v>
      </c>
      <c r="G22" s="454">
        <v>2</v>
      </c>
      <c r="H22" s="449">
        <f>ROUND(+D22/G22,0)</f>
        <v>15000000</v>
      </c>
      <c r="I22" s="449">
        <f>ROUND(+H22/12,0)</f>
        <v>1250000</v>
      </c>
      <c r="J22" s="451">
        <f>+I22</f>
        <v>1250000</v>
      </c>
      <c r="K22" s="451">
        <f>+J22</f>
        <v>1250000</v>
      </c>
      <c r="L22" s="451">
        <f t="shared" ref="L22:U23" si="15">+K22</f>
        <v>1250000</v>
      </c>
      <c r="M22" s="451">
        <f t="shared" si="15"/>
        <v>1250000</v>
      </c>
      <c r="N22" s="451">
        <f t="shared" si="15"/>
        <v>1250000</v>
      </c>
      <c r="O22" s="451">
        <f t="shared" si="15"/>
        <v>1250000</v>
      </c>
      <c r="P22" s="451">
        <f t="shared" si="15"/>
        <v>1250000</v>
      </c>
      <c r="Q22" s="451">
        <f t="shared" si="15"/>
        <v>1250000</v>
      </c>
      <c r="R22" s="451">
        <f t="shared" si="15"/>
        <v>1250000</v>
      </c>
      <c r="S22" s="451">
        <f t="shared" si="15"/>
        <v>1250000</v>
      </c>
      <c r="T22" s="451">
        <f t="shared" si="15"/>
        <v>1250000</v>
      </c>
      <c r="U22" s="451">
        <f t="shared" si="15"/>
        <v>1250000</v>
      </c>
      <c r="V22" s="152">
        <f t="shared" ref="V22:V39" si="16">SUM(J22:U22)</f>
        <v>15000000</v>
      </c>
    </row>
    <row r="23" spans="1:22" ht="15">
      <c r="A23" s="157" t="s">
        <v>836</v>
      </c>
      <c r="B23" s="442">
        <v>3</v>
      </c>
      <c r="C23" s="452">
        <v>3650000</v>
      </c>
      <c r="D23" s="452">
        <f>+C23*B23</f>
        <v>10950000</v>
      </c>
      <c r="E23" s="474" t="s">
        <v>827</v>
      </c>
      <c r="F23" s="469" t="s">
        <v>818</v>
      </c>
      <c r="G23" s="454">
        <v>1</v>
      </c>
      <c r="H23" s="449">
        <f>ROUND(+D23/G23,0)</f>
        <v>10950000</v>
      </c>
      <c r="I23" s="449">
        <f>ROUND(+H23/12,0)</f>
        <v>912500</v>
      </c>
      <c r="J23" s="481">
        <f>+'[2]pbcp 2026. est 10 BMTL + All'!O317</f>
        <v>875000</v>
      </c>
      <c r="K23" s="481">
        <f>+'[2]pbcp 2026. est 10 BMTL + All'!P317</f>
        <v>875000</v>
      </c>
      <c r="L23" s="481">
        <f>+'[2]pbcp 2026. est 10 BMTL + All'!Q317</f>
        <v>875000</v>
      </c>
      <c r="M23" s="481">
        <f>+'[2]pbcp 2026. est 10 BMTL + All'!R317</f>
        <v>875000</v>
      </c>
      <c r="N23" s="482">
        <f>+I23</f>
        <v>912500</v>
      </c>
      <c r="O23" s="451">
        <f>+N23</f>
        <v>912500</v>
      </c>
      <c r="P23" s="451">
        <f t="shared" si="15"/>
        <v>912500</v>
      </c>
      <c r="Q23" s="451">
        <f t="shared" si="15"/>
        <v>912500</v>
      </c>
      <c r="R23" s="451">
        <f t="shared" si="15"/>
        <v>912500</v>
      </c>
      <c r="S23" s="451">
        <f t="shared" si="15"/>
        <v>912500</v>
      </c>
      <c r="T23" s="451">
        <f t="shared" si="15"/>
        <v>912500</v>
      </c>
      <c r="U23" s="451">
        <f t="shared" si="15"/>
        <v>912500</v>
      </c>
      <c r="V23" s="152">
        <f t="shared" si="16"/>
        <v>10800000</v>
      </c>
    </row>
    <row r="24" spans="1:22" ht="15">
      <c r="A24" s="157" t="s">
        <v>837</v>
      </c>
      <c r="B24" s="442">
        <v>1</v>
      </c>
      <c r="C24" s="452">
        <f>0*6000000</f>
        <v>0</v>
      </c>
      <c r="D24" s="452">
        <f>+C24*B24</f>
        <v>0</v>
      </c>
      <c r="E24" s="474" t="s">
        <v>838</v>
      </c>
      <c r="F24" s="469" t="s">
        <v>806</v>
      </c>
      <c r="G24" s="454">
        <v>1</v>
      </c>
      <c r="H24" s="449">
        <f>ROUND(+D24/G24,0)</f>
        <v>0</v>
      </c>
      <c r="I24" s="449">
        <f>ROUND(+H24/12,0)</f>
        <v>0</v>
      </c>
      <c r="J24" s="481">
        <f>+'[2]pbcp 2026. est 10 BMTL + All'!O315+'[2]pbcp 2026. est 10 BMTL + All'!O316</f>
        <v>406173</v>
      </c>
      <c r="K24" s="481">
        <f>+'[2]pbcp 2026. est 10 BMTL + All'!P315+'[2]pbcp 2026. est 10 BMTL + All'!P316</f>
        <v>406173</v>
      </c>
      <c r="L24" s="481">
        <f>+'[2]pbcp 2026. est 10 BMTL + All'!Q315+'[2]pbcp 2026. est 10 BMTL + All'!Q316</f>
        <v>406173</v>
      </c>
      <c r="M24" s="481">
        <f>+'[2]pbcp 2026. est 10 BMTL + All'!R315+'[2]pbcp 2026. est 10 BMTL + All'!R316</f>
        <v>406173</v>
      </c>
      <c r="N24" s="481">
        <f>+'[2]pbcp 2026. est 10 BMTL + All'!S315+'[2]pbcp 2026. est 10 BMTL + All'!S316</f>
        <v>406173</v>
      </c>
      <c r="O24" s="481">
        <f>+'[2]pbcp 2026. est 10 BMTL + All'!T315+'[2]pbcp 2026. est 10 BMTL + All'!T316</f>
        <v>406173</v>
      </c>
      <c r="P24" s="481">
        <f>+'[2]pbcp 2026. est 10 BMTL + All'!U315+'[2]pbcp 2026. est 10 BMTL + All'!U316</f>
        <v>406173</v>
      </c>
      <c r="Q24" s="481">
        <f>+'[2]pbcp 2026. est 10 BMTL + All'!V315+'[2]pbcp 2026. est 10 BMTL + All'!V316</f>
        <v>406173</v>
      </c>
      <c r="R24" s="481">
        <f>+'[2]pbcp 2026. est 10 BMTL + All'!W315+'[2]pbcp 2026. est 10 BMTL + All'!W316</f>
        <v>406173</v>
      </c>
      <c r="S24" s="481">
        <f>+'[2]pbcp 2026. est 10 BMTL + All'!X315+'[2]pbcp 2026. est 10 BMTL + All'!X316</f>
        <v>406167</v>
      </c>
      <c r="T24" s="481">
        <f>+'[2]pbcp 2026. est 10 BMTL + All'!Y315+'[2]pbcp 2026. est 10 BMTL + All'!Y316</f>
        <v>200847</v>
      </c>
      <c r="U24" s="481">
        <f>+'[2]pbcp 2026. est 10 BMTL + All'!Z315+'[2]pbcp 2026. est 10 BMTL + All'!Z316</f>
        <v>200847</v>
      </c>
      <c r="V24" s="152">
        <f t="shared" si="16"/>
        <v>4463418</v>
      </c>
    </row>
    <row r="25" spans="1:22">
      <c r="A25" s="163" t="s">
        <v>839</v>
      </c>
      <c r="B25" s="442"/>
      <c r="C25" s="452"/>
      <c r="D25" s="452"/>
      <c r="E25" s="453"/>
      <c r="F25" s="469"/>
      <c r="G25" s="454"/>
      <c r="H25" s="449"/>
      <c r="I25" s="449"/>
      <c r="J25" s="451"/>
      <c r="K25" s="450"/>
      <c r="L25" s="450"/>
      <c r="M25" s="450"/>
      <c r="N25" s="450"/>
      <c r="O25" s="450"/>
      <c r="P25" s="450"/>
      <c r="Q25" s="450"/>
      <c r="R25" s="450"/>
      <c r="S25" s="450"/>
      <c r="T25" s="450"/>
      <c r="U25" s="450"/>
      <c r="V25" s="152">
        <f t="shared" si="16"/>
        <v>0</v>
      </c>
    </row>
    <row r="26" spans="1:22" ht="56">
      <c r="A26" s="153" t="s">
        <v>840</v>
      </c>
      <c r="B26" s="442">
        <v>1</v>
      </c>
      <c r="C26" s="452">
        <v>95000000</v>
      </c>
      <c r="D26" s="452">
        <f>+C26*B26</f>
        <v>95000000</v>
      </c>
      <c r="E26" s="468" t="s">
        <v>841</v>
      </c>
      <c r="F26" s="469" t="s">
        <v>808</v>
      </c>
      <c r="G26" s="454">
        <v>3</v>
      </c>
      <c r="H26" s="449">
        <f>ROUND(+D26/G26,0)</f>
        <v>31666667</v>
      </c>
      <c r="I26" s="449">
        <f>ROUND(+H26/12,0)</f>
        <v>2638889</v>
      </c>
      <c r="J26" s="451"/>
      <c r="K26" s="451">
        <f t="shared" ref="K26:U26" si="17">+$I26</f>
        <v>2638889</v>
      </c>
      <c r="L26" s="451">
        <f t="shared" si="17"/>
        <v>2638889</v>
      </c>
      <c r="M26" s="451">
        <f t="shared" si="17"/>
        <v>2638889</v>
      </c>
      <c r="N26" s="451">
        <f t="shared" si="17"/>
        <v>2638889</v>
      </c>
      <c r="O26" s="451">
        <f t="shared" si="17"/>
        <v>2638889</v>
      </c>
      <c r="P26" s="451">
        <f t="shared" si="17"/>
        <v>2638889</v>
      </c>
      <c r="Q26" s="451">
        <f t="shared" si="17"/>
        <v>2638889</v>
      </c>
      <c r="R26" s="451">
        <f t="shared" si="17"/>
        <v>2638889</v>
      </c>
      <c r="S26" s="451">
        <f t="shared" si="17"/>
        <v>2638889</v>
      </c>
      <c r="T26" s="451">
        <f t="shared" si="17"/>
        <v>2638889</v>
      </c>
      <c r="U26" s="451">
        <f t="shared" si="17"/>
        <v>2638889</v>
      </c>
      <c r="V26" s="152">
        <f t="shared" si="16"/>
        <v>29027779</v>
      </c>
    </row>
    <row r="27" spans="1:22" ht="15">
      <c r="A27" s="153" t="s">
        <v>842</v>
      </c>
      <c r="B27" s="442">
        <v>1</v>
      </c>
      <c r="C27" s="452">
        <v>34000000</v>
      </c>
      <c r="D27" s="452">
        <f>+C27*B27</f>
        <v>34000000</v>
      </c>
      <c r="E27" s="453" t="s">
        <v>843</v>
      </c>
      <c r="F27" s="469" t="s">
        <v>806</v>
      </c>
      <c r="G27" s="454">
        <v>1</v>
      </c>
      <c r="H27" s="449">
        <f>ROUND(+D27/G27,0)</f>
        <v>34000000</v>
      </c>
      <c r="I27" s="449">
        <f>ROUND(+H27/12,0)</f>
        <v>2833333</v>
      </c>
      <c r="J27" s="451">
        <f t="shared" ref="J27:U27" si="18">+I27</f>
        <v>2833333</v>
      </c>
      <c r="K27" s="451">
        <f t="shared" si="18"/>
        <v>2833333</v>
      </c>
      <c r="L27" s="451">
        <f t="shared" si="18"/>
        <v>2833333</v>
      </c>
      <c r="M27" s="451">
        <f t="shared" si="18"/>
        <v>2833333</v>
      </c>
      <c r="N27" s="451">
        <f t="shared" si="18"/>
        <v>2833333</v>
      </c>
      <c r="O27" s="451">
        <f t="shared" si="18"/>
        <v>2833333</v>
      </c>
      <c r="P27" s="451">
        <f t="shared" si="18"/>
        <v>2833333</v>
      </c>
      <c r="Q27" s="451">
        <f t="shared" si="18"/>
        <v>2833333</v>
      </c>
      <c r="R27" s="451">
        <f t="shared" si="18"/>
        <v>2833333</v>
      </c>
      <c r="S27" s="451">
        <f t="shared" si="18"/>
        <v>2833333</v>
      </c>
      <c r="T27" s="451">
        <f t="shared" si="18"/>
        <v>2833333</v>
      </c>
      <c r="U27" s="451">
        <f t="shared" si="18"/>
        <v>2833333</v>
      </c>
      <c r="V27" s="152">
        <f t="shared" si="16"/>
        <v>33999996</v>
      </c>
    </row>
    <row r="28" spans="1:22" ht="30">
      <c r="A28" s="153" t="s">
        <v>844</v>
      </c>
      <c r="B28" s="442">
        <v>4</v>
      </c>
      <c r="C28" s="452">
        <v>10000000</v>
      </c>
      <c r="D28" s="452">
        <f>+C28*B28</f>
        <v>40000000</v>
      </c>
      <c r="E28" s="468" t="s">
        <v>845</v>
      </c>
      <c r="F28" s="469" t="s">
        <v>828</v>
      </c>
      <c r="G28" s="454">
        <v>3</v>
      </c>
      <c r="H28" s="449">
        <f>ROUND(+D28/G28,0)</f>
        <v>13333333</v>
      </c>
      <c r="I28" s="449">
        <f>ROUND(+H28/12,0)</f>
        <v>1111111</v>
      </c>
      <c r="J28" s="451"/>
      <c r="K28" s="450"/>
      <c r="L28" s="450"/>
      <c r="M28" s="450"/>
      <c r="N28" s="450"/>
      <c r="O28" s="451">
        <f t="shared" ref="O28:U28" si="19">+$I28</f>
        <v>1111111</v>
      </c>
      <c r="P28" s="451">
        <f t="shared" si="19"/>
        <v>1111111</v>
      </c>
      <c r="Q28" s="451">
        <f t="shared" si="19"/>
        <v>1111111</v>
      </c>
      <c r="R28" s="451">
        <f t="shared" si="19"/>
        <v>1111111</v>
      </c>
      <c r="S28" s="451">
        <f t="shared" si="19"/>
        <v>1111111</v>
      </c>
      <c r="T28" s="451">
        <f t="shared" si="19"/>
        <v>1111111</v>
      </c>
      <c r="U28" s="451">
        <f t="shared" si="19"/>
        <v>1111111</v>
      </c>
      <c r="V28" s="152">
        <f t="shared" si="16"/>
        <v>7777777</v>
      </c>
    </row>
    <row r="29" spans="1:22" ht="45">
      <c r="A29" s="153" t="s">
        <v>846</v>
      </c>
      <c r="B29" s="442">
        <v>1</v>
      </c>
      <c r="C29" s="452">
        <v>45000000</v>
      </c>
      <c r="D29" s="452">
        <f>+C29*B29</f>
        <v>45000000</v>
      </c>
      <c r="E29" s="453" t="s">
        <v>800</v>
      </c>
      <c r="F29" s="469" t="s">
        <v>810</v>
      </c>
      <c r="G29" s="454">
        <v>3</v>
      </c>
      <c r="H29" s="449">
        <f>ROUND(+D29/G29,0)</f>
        <v>15000000</v>
      </c>
      <c r="I29" s="449">
        <f>ROUND(+H29/12,0)</f>
        <v>1250000</v>
      </c>
      <c r="J29" s="451"/>
      <c r="K29" s="450"/>
      <c r="L29" s="450"/>
      <c r="M29" s="450"/>
      <c r="N29" s="450"/>
      <c r="O29" s="450"/>
      <c r="P29" s="450"/>
      <c r="Q29" s="450"/>
      <c r="R29" s="450"/>
      <c r="S29" s="450"/>
      <c r="T29" s="450"/>
      <c r="U29" s="451">
        <f>+I29</f>
        <v>1250000</v>
      </c>
      <c r="V29" s="152">
        <f t="shared" si="16"/>
        <v>1250000</v>
      </c>
    </row>
    <row r="30" spans="1:22" ht="45">
      <c r="A30" s="153" t="s">
        <v>847</v>
      </c>
      <c r="B30" s="442" t="s">
        <v>848</v>
      </c>
      <c r="C30" s="452" t="s">
        <v>849</v>
      </c>
      <c r="D30" s="452">
        <f>4*5000000+21300000*1</f>
        <v>41300000</v>
      </c>
      <c r="E30" s="453" t="s">
        <v>850</v>
      </c>
      <c r="F30" s="469" t="s">
        <v>851</v>
      </c>
      <c r="G30" s="454">
        <v>2</v>
      </c>
      <c r="H30" s="449"/>
      <c r="I30" s="449"/>
      <c r="J30" s="451">
        <f>21300000/25</f>
        <v>852000</v>
      </c>
      <c r="K30" s="451">
        <f>+J30</f>
        <v>852000</v>
      </c>
      <c r="L30" s="451">
        <f>+K30</f>
        <v>852000</v>
      </c>
      <c r="M30" s="451">
        <f>+L30</f>
        <v>852000</v>
      </c>
      <c r="N30" s="451">
        <f>+M30</f>
        <v>852000</v>
      </c>
      <c r="O30" s="451">
        <f>+N30</f>
        <v>852000</v>
      </c>
      <c r="P30" s="451">
        <f>+O30+20000000/24</f>
        <v>1685333.3333333335</v>
      </c>
      <c r="Q30" s="451">
        <f>+P30</f>
        <v>1685333.3333333335</v>
      </c>
      <c r="R30" s="451">
        <f>+Q30</f>
        <v>1685333.3333333335</v>
      </c>
      <c r="S30" s="451">
        <f>+R30</f>
        <v>1685333.3333333335</v>
      </c>
      <c r="T30" s="451">
        <f>+S30</f>
        <v>1685333.3333333335</v>
      </c>
      <c r="U30" s="451">
        <f>+T30</f>
        <v>1685333.3333333335</v>
      </c>
      <c r="V30" s="152">
        <f t="shared" si="16"/>
        <v>15224000.000000004</v>
      </c>
    </row>
    <row r="31" spans="1:22" ht="30">
      <c r="A31" s="153" t="s">
        <v>852</v>
      </c>
      <c r="B31" s="442">
        <v>2</v>
      </c>
      <c r="C31" s="452">
        <v>15000000</v>
      </c>
      <c r="D31" s="452">
        <f>+C31*B31</f>
        <v>30000000</v>
      </c>
      <c r="E31" s="468" t="s">
        <v>853</v>
      </c>
      <c r="F31" s="469" t="s">
        <v>854</v>
      </c>
      <c r="G31" s="454">
        <v>3</v>
      </c>
      <c r="H31" s="449">
        <f>ROUND(+D31/G31,0)</f>
        <v>10000000</v>
      </c>
      <c r="I31" s="449">
        <f>ROUND(+H31/12,0)</f>
        <v>833333</v>
      </c>
      <c r="J31" s="451"/>
      <c r="K31" s="450"/>
      <c r="L31" s="450"/>
      <c r="M31" s="451">
        <f t="shared" ref="M31:U31" si="20">+$I31</f>
        <v>833333</v>
      </c>
      <c r="N31" s="451">
        <f t="shared" si="20"/>
        <v>833333</v>
      </c>
      <c r="O31" s="451">
        <f t="shared" si="20"/>
        <v>833333</v>
      </c>
      <c r="P31" s="451">
        <f t="shared" si="20"/>
        <v>833333</v>
      </c>
      <c r="Q31" s="451">
        <f t="shared" si="20"/>
        <v>833333</v>
      </c>
      <c r="R31" s="451">
        <f t="shared" si="20"/>
        <v>833333</v>
      </c>
      <c r="S31" s="451">
        <f t="shared" si="20"/>
        <v>833333</v>
      </c>
      <c r="T31" s="451">
        <f t="shared" si="20"/>
        <v>833333</v>
      </c>
      <c r="U31" s="451">
        <f t="shared" si="20"/>
        <v>833333</v>
      </c>
      <c r="V31" s="152">
        <f t="shared" si="16"/>
        <v>7499997</v>
      </c>
    </row>
    <row r="32" spans="1:22" ht="15">
      <c r="A32" s="153" t="s">
        <v>855</v>
      </c>
      <c r="B32" s="483">
        <v>1</v>
      </c>
      <c r="C32" s="473">
        <v>50000000</v>
      </c>
      <c r="D32" s="452">
        <f>+C32*B32</f>
        <v>50000000</v>
      </c>
      <c r="E32" s="453" t="s">
        <v>800</v>
      </c>
      <c r="F32" s="469" t="s">
        <v>810</v>
      </c>
      <c r="G32" s="454">
        <v>5</v>
      </c>
      <c r="H32" s="449">
        <f>ROUND(+D32/G32,0)</f>
        <v>10000000</v>
      </c>
      <c r="I32" s="449">
        <f>ROUND(+H32/12,0)</f>
        <v>833333</v>
      </c>
      <c r="J32" s="451"/>
      <c r="K32" s="450"/>
      <c r="L32" s="450"/>
      <c r="M32" s="450"/>
      <c r="N32" s="450"/>
      <c r="O32" s="450"/>
      <c r="P32" s="450"/>
      <c r="Q32" s="450"/>
      <c r="R32" s="450"/>
      <c r="S32" s="450"/>
      <c r="T32" s="450"/>
      <c r="U32" s="451">
        <f>+I32</f>
        <v>833333</v>
      </c>
      <c r="V32" s="152">
        <f t="shared" si="16"/>
        <v>833333</v>
      </c>
    </row>
    <row r="33" spans="1:22" ht="15">
      <c r="A33" s="153" t="s">
        <v>856</v>
      </c>
      <c r="B33" s="483">
        <v>4</v>
      </c>
      <c r="C33" s="484">
        <v>9000000</v>
      </c>
      <c r="D33" s="452">
        <f>+C33*B33</f>
        <v>36000000</v>
      </c>
      <c r="E33" s="453" t="s">
        <v>800</v>
      </c>
      <c r="F33" s="469" t="s">
        <v>810</v>
      </c>
      <c r="G33" s="454">
        <v>3</v>
      </c>
      <c r="H33" s="449">
        <f>ROUND(+D33/G33,0)</f>
        <v>12000000</v>
      </c>
      <c r="I33" s="449">
        <f>ROUND(+H33/12,0)</f>
        <v>1000000</v>
      </c>
      <c r="J33" s="451"/>
      <c r="K33" s="450"/>
      <c r="L33" s="450"/>
      <c r="M33" s="450"/>
      <c r="N33" s="450"/>
      <c r="O33" s="450"/>
      <c r="P33" s="450"/>
      <c r="Q33" s="450"/>
      <c r="R33" s="450"/>
      <c r="S33" s="450"/>
      <c r="T33" s="450"/>
      <c r="U33" s="451">
        <f>+I33</f>
        <v>1000000</v>
      </c>
      <c r="V33" s="152">
        <f t="shared" si="16"/>
        <v>1000000</v>
      </c>
    </row>
    <row r="34" spans="1:22" ht="15">
      <c r="A34" s="164" t="s">
        <v>857</v>
      </c>
      <c r="B34" s="442"/>
      <c r="C34" s="452"/>
      <c r="D34" s="452"/>
      <c r="E34" s="453"/>
      <c r="F34" s="469"/>
      <c r="G34" s="454"/>
      <c r="H34" s="449"/>
      <c r="I34" s="449"/>
      <c r="J34" s="451"/>
      <c r="K34" s="450"/>
      <c r="L34" s="450"/>
      <c r="M34" s="450"/>
      <c r="N34" s="450"/>
      <c r="O34" s="450"/>
      <c r="P34" s="450"/>
      <c r="Q34" s="450"/>
      <c r="R34" s="450"/>
      <c r="S34" s="450"/>
      <c r="T34" s="450"/>
      <c r="U34" s="450"/>
      <c r="V34" s="152">
        <f t="shared" si="16"/>
        <v>0</v>
      </c>
    </row>
    <row r="35" spans="1:22" ht="15">
      <c r="A35" s="165" t="s">
        <v>858</v>
      </c>
      <c r="B35" s="442">
        <v>1</v>
      </c>
      <c r="C35" s="485">
        <v>1900000000</v>
      </c>
      <c r="D35" s="486">
        <f>+C35*B35</f>
        <v>1900000000</v>
      </c>
      <c r="E35" s="453"/>
      <c r="F35" s="469" t="s">
        <v>854</v>
      </c>
      <c r="G35" s="454">
        <v>5</v>
      </c>
      <c r="H35" s="449">
        <f>ROUND(+D35/G35,0)</f>
        <v>380000000</v>
      </c>
      <c r="I35" s="449">
        <f t="shared" ref="I35:I42" si="21">ROUND(+H35/12,0)</f>
        <v>31666667</v>
      </c>
      <c r="J35" s="451"/>
      <c r="K35" s="451"/>
      <c r="L35" s="451"/>
      <c r="M35" s="451">
        <f>+I35</f>
        <v>31666667</v>
      </c>
      <c r="N35" s="451">
        <f t="shared" ref="N35:U35" si="22">+M35</f>
        <v>31666667</v>
      </c>
      <c r="O35" s="451">
        <f t="shared" si="22"/>
        <v>31666667</v>
      </c>
      <c r="P35" s="451">
        <f t="shared" si="22"/>
        <v>31666667</v>
      </c>
      <c r="Q35" s="451">
        <f t="shared" si="22"/>
        <v>31666667</v>
      </c>
      <c r="R35" s="451">
        <f t="shared" si="22"/>
        <v>31666667</v>
      </c>
      <c r="S35" s="451">
        <f t="shared" si="22"/>
        <v>31666667</v>
      </c>
      <c r="T35" s="451">
        <f t="shared" si="22"/>
        <v>31666667</v>
      </c>
      <c r="U35" s="451">
        <f t="shared" si="22"/>
        <v>31666667</v>
      </c>
      <c r="V35" s="152">
        <f t="shared" si="16"/>
        <v>285000003</v>
      </c>
    </row>
    <row r="36" spans="1:22" ht="30">
      <c r="A36" s="166" t="s">
        <v>859</v>
      </c>
      <c r="B36" s="442">
        <v>1</v>
      </c>
      <c r="C36" s="452">
        <v>150000000</v>
      </c>
      <c r="D36" s="452">
        <f>+C36*B36</f>
        <v>150000000</v>
      </c>
      <c r="E36" s="453"/>
      <c r="F36" s="469" t="s">
        <v>860</v>
      </c>
      <c r="G36" s="454">
        <v>1</v>
      </c>
      <c r="H36" s="449">
        <f>ROUND(+D36/G36,0)</f>
        <v>150000000</v>
      </c>
      <c r="I36" s="449">
        <f t="shared" si="21"/>
        <v>12500000</v>
      </c>
      <c r="J36" s="451"/>
      <c r="K36" s="451"/>
      <c r="L36" s="451">
        <f t="shared" ref="L36:U36" si="23">$I36</f>
        <v>12500000</v>
      </c>
      <c r="M36" s="451">
        <f t="shared" si="23"/>
        <v>12500000</v>
      </c>
      <c r="N36" s="451">
        <f t="shared" si="23"/>
        <v>12500000</v>
      </c>
      <c r="O36" s="451">
        <f t="shared" si="23"/>
        <v>12500000</v>
      </c>
      <c r="P36" s="451">
        <f t="shared" si="23"/>
        <v>12500000</v>
      </c>
      <c r="Q36" s="451">
        <f t="shared" si="23"/>
        <v>12500000</v>
      </c>
      <c r="R36" s="451">
        <f t="shared" si="23"/>
        <v>12500000</v>
      </c>
      <c r="S36" s="451">
        <f t="shared" si="23"/>
        <v>12500000</v>
      </c>
      <c r="T36" s="451">
        <f t="shared" si="23"/>
        <v>12500000</v>
      </c>
      <c r="U36" s="451">
        <f t="shared" si="23"/>
        <v>12500000</v>
      </c>
      <c r="V36" s="152">
        <f t="shared" si="16"/>
        <v>125000000</v>
      </c>
    </row>
    <row r="37" spans="1:22">
      <c r="A37" s="165"/>
      <c r="B37" s="442"/>
      <c r="C37" s="452"/>
      <c r="D37" s="452"/>
      <c r="E37" s="453"/>
      <c r="F37" s="469"/>
      <c r="G37" s="454"/>
      <c r="H37" s="449"/>
      <c r="I37" s="449">
        <f t="shared" si="21"/>
        <v>0</v>
      </c>
      <c r="J37" s="451">
        <f>+I37</f>
        <v>0</v>
      </c>
      <c r="K37" s="450"/>
      <c r="L37" s="450"/>
      <c r="M37" s="450"/>
      <c r="N37" s="450"/>
      <c r="O37" s="450"/>
      <c r="P37" s="450"/>
      <c r="Q37" s="450"/>
      <c r="R37" s="450"/>
      <c r="S37" s="450"/>
      <c r="T37" s="450"/>
      <c r="U37" s="450"/>
      <c r="V37" s="152">
        <f t="shared" si="16"/>
        <v>0</v>
      </c>
    </row>
    <row r="38" spans="1:22" s="169" customFormat="1" ht="19">
      <c r="A38" s="167" t="s">
        <v>861</v>
      </c>
      <c r="B38" s="487"/>
      <c r="C38" s="488" t="s">
        <v>862</v>
      </c>
      <c r="D38" s="489"/>
      <c r="E38" s="490"/>
      <c r="F38" s="491"/>
      <c r="G38" s="492"/>
      <c r="H38" s="482"/>
      <c r="I38" s="482">
        <f t="shared" si="21"/>
        <v>0</v>
      </c>
      <c r="J38" s="482">
        <f>+I38</f>
        <v>0</v>
      </c>
      <c r="K38" s="487"/>
      <c r="L38" s="487"/>
      <c r="M38" s="487"/>
      <c r="N38" s="487"/>
      <c r="O38" s="487"/>
      <c r="P38" s="487"/>
      <c r="Q38" s="487"/>
      <c r="R38" s="487"/>
      <c r="S38" s="487"/>
      <c r="T38" s="487"/>
      <c r="U38" s="487"/>
      <c r="V38" s="168">
        <f t="shared" si="16"/>
        <v>0</v>
      </c>
    </row>
    <row r="39" spans="1:22" ht="15">
      <c r="A39" s="166" t="s">
        <v>863</v>
      </c>
      <c r="B39" s="442">
        <v>20</v>
      </c>
      <c r="C39" s="452">
        <v>5000000</v>
      </c>
      <c r="D39" s="452">
        <f>+C39*B39</f>
        <v>100000000</v>
      </c>
      <c r="E39" s="453"/>
      <c r="F39" s="493" t="s">
        <v>854</v>
      </c>
      <c r="G39" s="454">
        <v>3</v>
      </c>
      <c r="H39" s="449">
        <f>ROUND(+D39/G39,0)</f>
        <v>33333333</v>
      </c>
      <c r="I39" s="449">
        <f t="shared" si="21"/>
        <v>2777778</v>
      </c>
      <c r="J39" s="451"/>
      <c r="K39" s="450"/>
      <c r="L39" s="450"/>
      <c r="M39" s="451">
        <f>+I39</f>
        <v>2777778</v>
      </c>
      <c r="N39" s="451">
        <f t="shared" ref="N39:U39" si="24">+M39</f>
        <v>2777778</v>
      </c>
      <c r="O39" s="451">
        <f t="shared" si="24"/>
        <v>2777778</v>
      </c>
      <c r="P39" s="451">
        <f t="shared" si="24"/>
        <v>2777778</v>
      </c>
      <c r="Q39" s="451">
        <f t="shared" si="24"/>
        <v>2777778</v>
      </c>
      <c r="R39" s="451">
        <f t="shared" si="24"/>
        <v>2777778</v>
      </c>
      <c r="S39" s="451">
        <f t="shared" si="24"/>
        <v>2777778</v>
      </c>
      <c r="T39" s="451">
        <f t="shared" si="24"/>
        <v>2777778</v>
      </c>
      <c r="U39" s="451">
        <f t="shared" si="24"/>
        <v>2777778</v>
      </c>
      <c r="V39" s="152">
        <f t="shared" si="16"/>
        <v>25000002</v>
      </c>
    </row>
    <row r="40" spans="1:22" ht="15">
      <c r="A40" s="170" t="s">
        <v>864</v>
      </c>
      <c r="B40" s="469">
        <v>1</v>
      </c>
      <c r="C40" s="449">
        <v>10500000</v>
      </c>
      <c r="D40" s="452">
        <f>+C40*B40</f>
        <v>10500000</v>
      </c>
      <c r="E40" s="453"/>
      <c r="F40" s="469" t="s">
        <v>808</v>
      </c>
      <c r="G40" s="454">
        <v>1</v>
      </c>
      <c r="H40" s="449">
        <v>10500000</v>
      </c>
      <c r="I40" s="449">
        <f t="shared" si="21"/>
        <v>875000</v>
      </c>
      <c r="J40" s="451"/>
      <c r="K40" s="451">
        <f t="shared" ref="K40:U42" si="25">+$I40</f>
        <v>875000</v>
      </c>
      <c r="L40" s="451">
        <f t="shared" si="25"/>
        <v>875000</v>
      </c>
      <c r="M40" s="451">
        <f t="shared" si="25"/>
        <v>875000</v>
      </c>
      <c r="N40" s="451">
        <f t="shared" si="25"/>
        <v>875000</v>
      </c>
      <c r="O40" s="451">
        <f t="shared" si="25"/>
        <v>875000</v>
      </c>
      <c r="P40" s="451">
        <f t="shared" si="25"/>
        <v>875000</v>
      </c>
      <c r="Q40" s="451">
        <f t="shared" si="25"/>
        <v>875000</v>
      </c>
      <c r="R40" s="451">
        <f t="shared" si="25"/>
        <v>875000</v>
      </c>
      <c r="S40" s="451">
        <f t="shared" si="25"/>
        <v>875000</v>
      </c>
      <c r="T40" s="451">
        <f t="shared" si="25"/>
        <v>875000</v>
      </c>
      <c r="U40" s="451">
        <f t="shared" si="25"/>
        <v>875000</v>
      </c>
      <c r="V40" s="152"/>
    </row>
    <row r="41" spans="1:22" ht="30">
      <c r="A41" s="170" t="s">
        <v>865</v>
      </c>
      <c r="B41" s="442">
        <v>1</v>
      </c>
      <c r="C41" s="452">
        <v>27518400</v>
      </c>
      <c r="D41" s="452">
        <f>+C41*B41</f>
        <v>27518400</v>
      </c>
      <c r="E41" s="453"/>
      <c r="F41" s="469" t="s">
        <v>806</v>
      </c>
      <c r="G41" s="454">
        <v>1</v>
      </c>
      <c r="H41" s="449">
        <v>27518400</v>
      </c>
      <c r="I41" s="449">
        <f t="shared" si="21"/>
        <v>2293200</v>
      </c>
      <c r="J41" s="451">
        <f>+$I41</f>
        <v>2293200</v>
      </c>
      <c r="K41" s="451">
        <f t="shared" si="25"/>
        <v>2293200</v>
      </c>
      <c r="L41" s="451">
        <f t="shared" si="25"/>
        <v>2293200</v>
      </c>
      <c r="M41" s="451">
        <f t="shared" si="25"/>
        <v>2293200</v>
      </c>
      <c r="N41" s="451">
        <f t="shared" si="25"/>
        <v>2293200</v>
      </c>
      <c r="O41" s="451">
        <f t="shared" si="25"/>
        <v>2293200</v>
      </c>
      <c r="P41" s="451">
        <f t="shared" si="25"/>
        <v>2293200</v>
      </c>
      <c r="Q41" s="451">
        <f t="shared" si="25"/>
        <v>2293200</v>
      </c>
      <c r="R41" s="451">
        <f t="shared" si="25"/>
        <v>2293200</v>
      </c>
      <c r="S41" s="451">
        <f t="shared" si="25"/>
        <v>2293200</v>
      </c>
      <c r="T41" s="451">
        <f t="shared" si="25"/>
        <v>2293200</v>
      </c>
      <c r="U41" s="451">
        <f t="shared" si="25"/>
        <v>2293200</v>
      </c>
      <c r="V41" s="152">
        <f t="shared" ref="V41:V47" si="26">SUM(J41:U41)</f>
        <v>27518400</v>
      </c>
    </row>
    <row r="42" spans="1:22" ht="15">
      <c r="A42" s="171" t="s">
        <v>866</v>
      </c>
      <c r="B42" s="442">
        <v>1</v>
      </c>
      <c r="C42" s="452">
        <v>219912000</v>
      </c>
      <c r="D42" s="452">
        <f>+C42*B42</f>
        <v>219912000</v>
      </c>
      <c r="E42" s="453"/>
      <c r="F42" s="493" t="s">
        <v>854</v>
      </c>
      <c r="G42" s="454">
        <v>3</v>
      </c>
      <c r="H42" s="449">
        <f>ROUND(+D42/G42,0)</f>
        <v>73304000</v>
      </c>
      <c r="I42" s="449">
        <f t="shared" si="21"/>
        <v>6108667</v>
      </c>
      <c r="J42" s="451"/>
      <c r="K42" s="450"/>
      <c r="L42" s="450"/>
      <c r="M42" s="451">
        <f t="shared" si="25"/>
        <v>6108667</v>
      </c>
      <c r="N42" s="451">
        <f t="shared" si="25"/>
        <v>6108667</v>
      </c>
      <c r="O42" s="451">
        <f t="shared" si="25"/>
        <v>6108667</v>
      </c>
      <c r="P42" s="451">
        <f t="shared" si="25"/>
        <v>6108667</v>
      </c>
      <c r="Q42" s="451">
        <f t="shared" si="25"/>
        <v>6108667</v>
      </c>
      <c r="R42" s="451">
        <f t="shared" si="25"/>
        <v>6108667</v>
      </c>
      <c r="S42" s="451">
        <f t="shared" si="25"/>
        <v>6108667</v>
      </c>
      <c r="T42" s="451">
        <f t="shared" si="25"/>
        <v>6108667</v>
      </c>
      <c r="U42" s="451">
        <f t="shared" si="25"/>
        <v>6108667</v>
      </c>
      <c r="V42" s="152">
        <f t="shared" si="26"/>
        <v>54978003</v>
      </c>
    </row>
    <row r="43" spans="1:22" s="174" customFormat="1" ht="15" hidden="1">
      <c r="A43" s="172" t="s">
        <v>867</v>
      </c>
      <c r="B43" s="494"/>
      <c r="C43" s="495"/>
      <c r="D43" s="495"/>
      <c r="E43" s="496"/>
      <c r="F43" s="497" t="s">
        <v>868</v>
      </c>
      <c r="G43" s="498"/>
      <c r="H43" s="499"/>
      <c r="I43" s="499"/>
      <c r="J43" s="500"/>
      <c r="K43" s="501"/>
      <c r="L43" s="501"/>
      <c r="M43" s="501"/>
      <c r="N43" s="501"/>
      <c r="O43" s="501"/>
      <c r="P43" s="501"/>
      <c r="Q43" s="501"/>
      <c r="R43" s="501"/>
      <c r="S43" s="501"/>
      <c r="T43" s="501"/>
      <c r="U43" s="501"/>
      <c r="V43" s="173">
        <f t="shared" si="26"/>
        <v>0</v>
      </c>
    </row>
    <row r="44" spans="1:22" s="174" customFormat="1" ht="15" hidden="1">
      <c r="A44" s="175" t="s">
        <v>869</v>
      </c>
      <c r="B44" s="494">
        <v>3</v>
      </c>
      <c r="C44" s="495">
        <v>20000000</v>
      </c>
      <c r="D44" s="495">
        <f>+C44*B44</f>
        <v>60000000</v>
      </c>
      <c r="E44" s="496"/>
      <c r="F44" s="497" t="s">
        <v>815</v>
      </c>
      <c r="G44" s="498">
        <v>5</v>
      </c>
      <c r="H44" s="499">
        <f>ROUND(+D44/G44,0)</f>
        <v>12000000</v>
      </c>
      <c r="I44" s="499">
        <f>ROUND(+H44/12,0)</f>
        <v>1000000</v>
      </c>
      <c r="J44" s="500"/>
      <c r="K44" s="501"/>
      <c r="L44" s="500">
        <f t="shared" ref="L44:U44" si="27">+$I44</f>
        <v>1000000</v>
      </c>
      <c r="M44" s="500">
        <f t="shared" si="27"/>
        <v>1000000</v>
      </c>
      <c r="N44" s="500">
        <f t="shared" si="27"/>
        <v>1000000</v>
      </c>
      <c r="O44" s="500">
        <f t="shared" si="27"/>
        <v>1000000</v>
      </c>
      <c r="P44" s="500">
        <f t="shared" si="27"/>
        <v>1000000</v>
      </c>
      <c r="Q44" s="500">
        <f t="shared" si="27"/>
        <v>1000000</v>
      </c>
      <c r="R44" s="500">
        <f t="shared" si="27"/>
        <v>1000000</v>
      </c>
      <c r="S44" s="500">
        <f t="shared" si="27"/>
        <v>1000000</v>
      </c>
      <c r="T44" s="500">
        <f t="shared" si="27"/>
        <v>1000000</v>
      </c>
      <c r="U44" s="500">
        <f t="shared" si="27"/>
        <v>1000000</v>
      </c>
      <c r="V44" s="173">
        <f t="shared" si="26"/>
        <v>10000000</v>
      </c>
    </row>
    <row r="45" spans="1:22" s="174" customFormat="1" ht="15" hidden="1">
      <c r="A45" s="175" t="s">
        <v>870</v>
      </c>
      <c r="B45" s="494">
        <v>2</v>
      </c>
      <c r="C45" s="495">
        <v>5000000</v>
      </c>
      <c r="D45" s="495">
        <f>+C45*B45</f>
        <v>10000000</v>
      </c>
      <c r="E45" s="496"/>
      <c r="F45" s="497" t="s">
        <v>810</v>
      </c>
      <c r="G45" s="498">
        <v>3</v>
      </c>
      <c r="H45" s="499">
        <f>ROUND(+D45/G45,0)</f>
        <v>3333333</v>
      </c>
      <c r="I45" s="499">
        <f>ROUND(+H45/12,0)</f>
        <v>277778</v>
      </c>
      <c r="J45" s="500"/>
      <c r="K45" s="501"/>
      <c r="L45" s="501"/>
      <c r="M45" s="501"/>
      <c r="N45" s="501"/>
      <c r="O45" s="501"/>
      <c r="P45" s="501"/>
      <c r="Q45" s="501"/>
      <c r="R45" s="501"/>
      <c r="S45" s="501"/>
      <c r="T45" s="501"/>
      <c r="U45" s="500">
        <f>+I45</f>
        <v>277778</v>
      </c>
      <c r="V45" s="173">
        <f t="shared" si="26"/>
        <v>277778</v>
      </c>
    </row>
    <row r="46" spans="1:22" s="174" customFormat="1" ht="16" hidden="1" thickBot="1">
      <c r="A46" s="176" t="s">
        <v>871</v>
      </c>
      <c r="B46" s="177">
        <v>1</v>
      </c>
      <c r="C46" s="178">
        <v>228448000</v>
      </c>
      <c r="D46" s="178">
        <f>+C46*B46</f>
        <v>228448000</v>
      </c>
      <c r="E46" s="179"/>
      <c r="F46" s="180" t="s">
        <v>815</v>
      </c>
      <c r="G46" s="181">
        <v>3</v>
      </c>
      <c r="H46" s="182">
        <f>ROUND(+D46/G46,0)</f>
        <v>76149333</v>
      </c>
      <c r="I46" s="182">
        <f>ROUND(+H46/12,0)</f>
        <v>6345778</v>
      </c>
      <c r="J46" s="183"/>
      <c r="K46" s="183"/>
      <c r="L46" s="184">
        <f t="shared" ref="L46:U46" si="28">+$I46</f>
        <v>6345778</v>
      </c>
      <c r="M46" s="184">
        <f t="shared" si="28"/>
        <v>6345778</v>
      </c>
      <c r="N46" s="184">
        <f t="shared" si="28"/>
        <v>6345778</v>
      </c>
      <c r="O46" s="184">
        <f t="shared" si="28"/>
        <v>6345778</v>
      </c>
      <c r="P46" s="184">
        <f t="shared" si="28"/>
        <v>6345778</v>
      </c>
      <c r="Q46" s="184">
        <f t="shared" si="28"/>
        <v>6345778</v>
      </c>
      <c r="R46" s="184">
        <f t="shared" si="28"/>
        <v>6345778</v>
      </c>
      <c r="S46" s="184">
        <f t="shared" si="28"/>
        <v>6345778</v>
      </c>
      <c r="T46" s="184">
        <f t="shared" si="28"/>
        <v>6345778</v>
      </c>
      <c r="U46" s="184">
        <f t="shared" si="28"/>
        <v>6345778</v>
      </c>
      <c r="V46" s="185">
        <f t="shared" si="26"/>
        <v>63457780</v>
      </c>
    </row>
    <row r="47" spans="1:22" s="174" customFormat="1" ht="15" hidden="1">
      <c r="A47" s="175" t="s">
        <v>872</v>
      </c>
      <c r="B47" s="494">
        <v>1</v>
      </c>
      <c r="C47" s="495">
        <v>1000000</v>
      </c>
      <c r="D47" s="495">
        <f>+C47*B47</f>
        <v>1000000</v>
      </c>
      <c r="E47" s="293" t="s">
        <v>827</v>
      </c>
      <c r="F47" s="497" t="s">
        <v>806</v>
      </c>
      <c r="G47" s="498">
        <v>1</v>
      </c>
      <c r="H47" s="499">
        <f>ROUND(+D47/G47,0)</f>
        <v>1000000</v>
      </c>
      <c r="I47" s="499">
        <f>ROUND(+H47/12,0)</f>
        <v>83333</v>
      </c>
      <c r="J47" s="500">
        <f t="shared" ref="J47:U47" si="29">+I47</f>
        <v>83333</v>
      </c>
      <c r="K47" s="500">
        <f t="shared" si="29"/>
        <v>83333</v>
      </c>
      <c r="L47" s="500">
        <f t="shared" si="29"/>
        <v>83333</v>
      </c>
      <c r="M47" s="500">
        <f t="shared" si="29"/>
        <v>83333</v>
      </c>
      <c r="N47" s="500">
        <f t="shared" si="29"/>
        <v>83333</v>
      </c>
      <c r="O47" s="500">
        <f t="shared" si="29"/>
        <v>83333</v>
      </c>
      <c r="P47" s="500">
        <f t="shared" si="29"/>
        <v>83333</v>
      </c>
      <c r="Q47" s="500">
        <f t="shared" si="29"/>
        <v>83333</v>
      </c>
      <c r="R47" s="500">
        <f t="shared" si="29"/>
        <v>83333</v>
      </c>
      <c r="S47" s="500">
        <f t="shared" si="29"/>
        <v>83333</v>
      </c>
      <c r="T47" s="500">
        <f t="shared" si="29"/>
        <v>83333</v>
      </c>
      <c r="U47" s="500">
        <f t="shared" si="29"/>
        <v>83333</v>
      </c>
      <c r="V47" s="173">
        <f t="shared" si="26"/>
        <v>999996</v>
      </c>
    </row>
    <row r="48" spans="1:22">
      <c r="D48" s="186">
        <f>SUM(D4:D42)-D6-D16-D21</f>
        <v>3176734600</v>
      </c>
    </row>
    <row r="49" spans="4:4">
      <c r="D49" s="187">
        <v>3176.74</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4EE2-7DB3-3B47-A1A5-02FFFE5B2A59}">
  <dimension ref="A1"/>
  <sheetViews>
    <sheetView workbookViewId="0"/>
  </sheetViews>
  <sheetFormatPr baseColWidth="10" defaultColWidth="11.5"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0C7F-D97A-C546-BFCB-6BE497DBA529}">
  <dimension ref="A1"/>
  <sheetViews>
    <sheetView workbookViewId="0">
      <selection activeCell="S35" sqref="S35"/>
    </sheetView>
  </sheetViews>
  <sheetFormatPr baseColWidth="10" defaultColWidth="11.5"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3BD9-D65D-3349-9B94-0E225B1E708D}">
  <dimension ref="A1"/>
  <sheetViews>
    <sheetView workbookViewId="0"/>
  </sheetViews>
  <sheetFormatPr baseColWidth="10" defaultColWidth="11.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5e78532-5029-4021-8092-a8635af6ddda">
      <Terms xmlns="http://schemas.microsoft.com/office/infopath/2007/PartnerControls"/>
    </lcf76f155ced4ddcb4097134ff3c332f>
    <TaxCatchAll xmlns="c9c1f1b5-263a-4db8-83a1-91d05c1c94e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DD270B82A89A43A899A40B554BCBAE" ma:contentTypeVersion="11" ma:contentTypeDescription="Create a new document." ma:contentTypeScope="" ma:versionID="f849a6594c50fdef8e5da757052be0b5">
  <xsd:schema xmlns:xsd="http://www.w3.org/2001/XMLSchema" xmlns:xs="http://www.w3.org/2001/XMLSchema" xmlns:p="http://schemas.microsoft.com/office/2006/metadata/properties" xmlns:ns2="55e78532-5029-4021-8092-a8635af6ddda" xmlns:ns3="c9c1f1b5-263a-4db8-83a1-91d05c1c94ed" targetNamespace="http://schemas.microsoft.com/office/2006/metadata/properties" ma:root="true" ma:fieldsID="6579e800d5ef5ffb3c041b9b80a2c352" ns2:_="" ns3:_="">
    <xsd:import namespace="55e78532-5029-4021-8092-a8635af6ddda"/>
    <xsd:import namespace="c9c1f1b5-263a-4db8-83a1-91d05c1c94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78532-5029-4021-8092-a8635af6dd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7f81661-5cdb-4395-9923-3c10e8c523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c1f1b5-263a-4db8-83a1-91d05c1c94e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956c5a-a394-493c-a820-01177d714d4e}" ma:internalName="TaxCatchAll" ma:showField="CatchAllData" ma:web="c9c1f1b5-263a-4db8-83a1-91d05c1c94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050285-A130-4F2D-903E-632AF55DE9C2}">
  <ds:schemaRefs>
    <ds:schemaRef ds:uri="http://schemas.microsoft.com/office/2006/metadata/properties"/>
    <ds:schemaRef ds:uri="http://schemas.microsoft.com/office/infopath/2007/PartnerControls"/>
    <ds:schemaRef ds:uri="55e78532-5029-4021-8092-a8635af6ddda"/>
    <ds:schemaRef ds:uri="c9c1f1b5-263a-4db8-83a1-91d05c1c94ed"/>
  </ds:schemaRefs>
</ds:datastoreItem>
</file>

<file path=customXml/itemProps2.xml><?xml version="1.0" encoding="utf-8"?>
<ds:datastoreItem xmlns:ds="http://schemas.openxmlformats.org/officeDocument/2006/customXml" ds:itemID="{51101B76-AB97-4148-BA0C-64B504136067}">
  <ds:schemaRefs>
    <ds:schemaRef ds:uri="http://schemas.microsoft.com/sharepoint/v3/contenttype/forms"/>
  </ds:schemaRefs>
</ds:datastoreItem>
</file>

<file path=customXml/itemProps3.xml><?xml version="1.0" encoding="utf-8"?>
<ds:datastoreItem xmlns:ds="http://schemas.openxmlformats.org/officeDocument/2006/customXml" ds:itemID="{99D8B5A3-AEFD-47D1-B6F5-1B48076A9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e78532-5029-4021-8092-a8635af6ddda"/>
    <ds:schemaRef ds:uri="c9c1f1b5-263a-4db8-83a1-91d05c1c9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MS_IT.2026</vt:lpstr>
      <vt:lpstr>JSC_Detail</vt:lpstr>
      <vt:lpstr>ACC_FIN</vt:lpstr>
      <vt:lpstr>MKT.SALES</vt:lpstr>
      <vt:lpstr>HR.ADM.LEGAL</vt:lpstr>
      <vt:lpstr>DMD</vt:lpstr>
      <vt:lpstr>PDD</vt:lpstr>
      <vt:lpstr>PMU.QS.EPL</vt:lpstr>
      <vt:lpstr>PMG.BHMC.AURA</vt:lpstr>
      <vt:lpstr>BFT.2026</vt:lpstr>
      <vt:lpstr>GARDEN</vt:lpstr>
      <vt:lpstr>MINHQUANG</vt:lpstr>
      <vt:lpstr>BIG.ENRG</vt:lpstr>
      <vt:lpstr>OTHERS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 Lê Thị Ngọc</dc:creator>
  <cp:keywords/>
  <dc:description/>
  <cp:lastModifiedBy>Pham Thi Mai</cp:lastModifiedBy>
  <cp:revision/>
  <dcterms:created xsi:type="dcterms:W3CDTF">2025-12-17T13:51:07Z</dcterms:created>
  <dcterms:modified xsi:type="dcterms:W3CDTF">2026-08-16T11:43:06Z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0x010100ADDD270B82A89A43A899A40B554BCBAE</vt:lpwstr>
  </property>
  <property fmtid="{D5CDD505-2E9C-101B-9397-08002B2CF9AE}" pid="3" name="MediaServiceImageTags">
    <vt:lpwstr/>
  </property>
</Properties>
</file>